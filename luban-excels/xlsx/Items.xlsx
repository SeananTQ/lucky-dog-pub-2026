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451" tabRatio="812" activeTab="2"/>
  </bookViews>
  <sheets>
    <sheet name="Item" sheetId="1" r:id="rId1"/>
    <sheet name="表说明" sheetId="3" r:id="rId2"/>
    <sheet name="BlindBox" sheetId="4" r:id="rId3"/>
    <sheet name="BlindBoxSchedule" sheetId="13" r:id="rId4"/>
    <sheet name="BlindBoxRarityRate" sheetId="14" r:id="rId5"/>
    <sheet name="BlindBoxItemWeight" sheetId="21" r:id="rId6"/>
    <sheet name="BlindBoxRevealPath" sheetId="15" r:id="rId7"/>
    <sheet name="BlindBoxVisual" sheetId="16" r:id="rId8"/>
    <sheet name="RefreshmentConfig" sheetId="20" r:id="rId9"/>
    <sheet name="TabGroup" sheetId="8" r:id="rId10"/>
    <sheet name="EquipmentSlotConfig" sheetId="10" r:id="rId11"/>
    <sheet name="LinkTree" sheetId="17" r:id="rId12"/>
    <sheet name="SteamItemDef" sheetId="18" r:id="rId13"/>
    <sheet name="SteamItemDefIdRange" sheetId="19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<sst xmlns="http://schemas.openxmlformats.org/spreadsheetml/2006/main" count="4238" uniqueCount="1524">
  <si>
    <t>##var</t>
  </si>
  <si>
    <t>Id</t>
  </si>
  <si>
    <t>Name</t>
  </si>
  <si>
    <t>Alias</t>
  </si>
  <si>
    <t>ItemType</t>
  </si>
  <si>
    <t>BuildChannelMask</t>
  </si>
  <si>
    <t>HiddenRegionFlag</t>
  </si>
  <si>
    <t>SafeResourceId</t>
  </si>
  <si>
    <t>ItemRarity</t>
  </si>
  <si>
    <t>SortOrder</t>
  </si>
  <si>
    <t>IsHiddenInBag</t>
  </si>
  <si>
    <t>AcquisitionType</t>
  </si>
  <si>
    <t>VisualZOffset</t>
  </si>
  <si>
    <t>*AssetPathList</t>
  </si>
  <si>
    <t>IconPath</t>
  </si>
  <si>
    <t>SkinId</t>
  </si>
  <si>
    <t>SteamItemDefId</t>
  </si>
  <si>
    <t>SteamItemDefType</t>
  </si>
  <si>
    <t>SteamDescription</t>
  </si>
  <si>
    <t>SteamGameOnly</t>
  </si>
  <si>
    <t>SteamTradable</t>
  </si>
  <si>
    <t>SteamMarketable</t>
  </si>
  <si>
    <t>SteamAutoStack</t>
  </si>
  <si>
    <t>SteamHidden</t>
  </si>
  <si>
    <t>SteamDisplayType</t>
  </si>
  <si>
    <t>SteamTags</t>
  </si>
  <si>
    <t>SteamIconUrl</t>
  </si>
  <si>
    <t>SteamIconUrlLarge</t>
  </si>
  <si>
    <t>##type</t>
  </si>
  <si>
    <t>int</t>
  </si>
  <si>
    <t>string</t>
  </si>
  <si>
    <t>EItemType</t>
  </si>
  <si>
    <t>EBuildChannelMask</t>
  </si>
  <si>
    <t>EHiddenRegionFlag</t>
  </si>
  <si>
    <t>ERarity</t>
  </si>
  <si>
    <t>bool</t>
  </si>
  <si>
    <t>EAcquisitionType</t>
  </si>
  <si>
    <t>list,string</t>
  </si>
  <si>
    <t>ESteamItemDefType</t>
  </si>
  <si>
    <t>##</t>
  </si>
  <si>
    <t>内部名称方便记忆</t>
  </si>
  <si>
    <t>在哪些国家无法抽到</t>
  </si>
  <si>
    <t>直播安全模式开启状态下，需要替换成和谐资源，该替换规则高于地区规则</t>
  </si>
  <si>
    <t>排序权重，数字越小约靠前</t>
  </si>
  <si>
    <t>调整物品相对于所属装备位默认层级的本地 Z 值。0 保持默认层级，正数向前，负数向后。仅对已接入该字段的装扮类型生效。帽子填写 0 时挡住眼镜，填写 -1 时被眼镜挡住。</t>
  </si>
  <si>
    <t>由于部件拆的比较碎，因此需要文件夹路径如 `Assets\Eyewear\EyePatch.png`
拿到字符串后需要自行转义
该字段为列表，可以跨行填写多个
要注意，也可以是tres文件
由于小狗皮肤由多个文件组成，因此直接填写文件夹目录，卡面也是填文件夹</t>
  </si>
  <si>
    <t>在背包内显示的图标</t>
  </si>
  <si>
    <t>Steam itemdef ID。现阶段可填 0</t>
  </si>
  <si>
    <t>Steam 类型。现阶段普通物品可先填 Item 或空</t>
  </si>
  <si>
    <t>Steam 后台英文说明；game_only 回执不向玩家展示</t>
  </si>
  <si>
    <t>在Steam页面背包中隐藏
默认 true</t>
  </si>
  <si>
    <t>默认 false</t>
  </si>
  <si>
    <t>Refreshment 可 true，装扮 false</t>
  </si>
  <si>
    <t>正式物品默认 false</t>
  </si>
  <si>
    <t>可空</t>
  </si>
  <si>
    <t>稀有度标签由转换器填写；
自定义标签填写英文小写字母例如color:red;</t>
  </si>
  <si>
    <t>id</t>
  </si>
  <si>
    <t>显示名称</t>
  </si>
  <si>
    <t>策划名称</t>
  </si>
  <si>
    <t>物品类型</t>
  </si>
  <si>
    <t>适用构建渠道</t>
  </si>
  <si>
    <t>安全替换资源id</t>
  </si>
  <si>
    <t>品质</t>
  </si>
  <si>
    <t>排序权重</t>
  </si>
  <si>
    <t>在背包中隐藏</t>
  </si>
  <si>
    <t>投放类型</t>
  </si>
  <si>
    <t>视觉层级偏移</t>
  </si>
  <si>
    <t>对应素材图片路径材列表</t>
  </si>
  <si>
    <t>图标路径</t>
  </si>
  <si>
    <t>皮肤id</t>
  </si>
  <si>
    <t>Steam定义物品ID</t>
  </si>
  <si>
    <t>定义类型</t>
  </si>
  <si>
    <t>英文说明</t>
  </si>
  <si>
    <t>为游戏内专用</t>
  </si>
  <si>
    <t>可交易</t>
  </si>
  <si>
    <t>可在市场出售</t>
  </si>
  <si>
    <t>自动堆叠</t>
  </si>
  <si>
    <t>Steam隐藏</t>
  </si>
  <si>
    <t>显示类型</t>
  </si>
  <si>
    <t>自定义标签</t>
  </si>
  <si>
    <t>小图标</t>
  </si>
  <si>
    <t>大图标</t>
  </si>
  <si>
    <t>Red Shiba Inu</t>
  </si>
  <si>
    <t>原色赤柴</t>
  </si>
  <si>
    <t>Dog</t>
  </si>
  <si>
    <t>Playtest|Release|Demo</t>
  </si>
  <si>
    <t>普通</t>
  </si>
  <si>
    <t>初始拥有</t>
  </si>
  <si>
    <t>v3\Shiba\Red\</t>
  </si>
  <si>
    <t>v3\ItemIcon\Dog_1001.png</t>
  </si>
  <si>
    <t>Item</t>
  </si>
  <si>
    <t>Chubby Black Shiba</t>
  </si>
  <si>
    <t>胖黑柴</t>
  </si>
  <si>
    <t>Playtest|Release</t>
  </si>
  <si>
    <t>稀有</t>
  </si>
  <si>
    <t>装扮盲盒产出</t>
  </si>
  <si>
    <t>v3\Shiba\Black\</t>
  </si>
  <si>
    <t>v3\ItemIcon\Dog_1002.png</t>
  </si>
  <si>
    <t>Chubby Cream Shiba</t>
  </si>
  <si>
    <t>胖白柴</t>
  </si>
  <si>
    <t>优秀</t>
  </si>
  <si>
    <t>v3\Shiba\Cream\</t>
  </si>
  <si>
    <t>v3\ItemIcon\Dog_1003.png</t>
  </si>
  <si>
    <t>Chubby Sesame Shiba</t>
  </si>
  <si>
    <t>胖胡麻柴</t>
  </si>
  <si>
    <t>v3\Shiba\Sesame\</t>
  </si>
  <si>
    <t>v3\ItemIcon\Dog_1004.png</t>
  </si>
  <si>
    <t>Chubby Red Shiba</t>
  </si>
  <si>
    <t>胖赤柴</t>
  </si>
  <si>
    <t>史诗</t>
  </si>
  <si>
    <t>v3\ItemIcon\Dog_1005.png</t>
  </si>
  <si>
    <t>Arcade Gamer Red Shiba</t>
  </si>
  <si>
    <t>电玩赤柴</t>
  </si>
  <si>
    <t>传说</t>
  </si>
  <si>
    <t>v3\ItemIcon\Dog_1006.png</t>
  </si>
  <si>
    <t>Esports Pro Black Shiba</t>
  </si>
  <si>
    <t>电竞黑柴</t>
  </si>
  <si>
    <t>v3\ItemIcon\Dog_1007.png</t>
  </si>
  <si>
    <t>Gamer Girl Cream Shiba</t>
  </si>
  <si>
    <t>电玩妹白柴</t>
  </si>
  <si>
    <t>v3\ItemIcon\Dog_1008.png</t>
  </si>
  <si>
    <t>Scholar Black Shiba</t>
  </si>
  <si>
    <t>学者黑柴</t>
  </si>
  <si>
    <t>v3\ItemIcon\Dog_1009.png</t>
  </si>
  <si>
    <t>Aristocrat Cream Shiba</t>
  </si>
  <si>
    <t>贵族白柴</t>
  </si>
  <si>
    <t>v3\ItemIcon\Dog_1010.png</t>
  </si>
  <si>
    <t>Top Student Sesame Shiba</t>
  </si>
  <si>
    <t>学霸胡麻柴</t>
  </si>
  <si>
    <t>神话</t>
  </si>
  <si>
    <t>v3\ItemIcon\Dog_1011.png</t>
  </si>
  <si>
    <t>Gentleman Red Shiba</t>
  </si>
  <si>
    <t>绅士赤柴</t>
  </si>
  <si>
    <t>v3\ItemIcon\Dog_1012.png</t>
  </si>
  <si>
    <t>Upperclassman Red Shiba</t>
  </si>
  <si>
    <t>学长赤柴</t>
  </si>
  <si>
    <t>v3\ItemIcon\Dog_1013.png</t>
  </si>
  <si>
    <t>Nerdy Black Shiba</t>
  </si>
  <si>
    <t>书呆子黑柴</t>
  </si>
  <si>
    <t>v3\ItemIcon\Dog_1014.png</t>
  </si>
  <si>
    <t>Schoolgirl Cream Shiba</t>
  </si>
  <si>
    <t>学妹白柴</t>
  </si>
  <si>
    <t>v3\ItemIcon\Dog_1015.png</t>
  </si>
  <si>
    <t>Goofy Sesame Shiba</t>
  </si>
  <si>
    <t>阿呆胡麻柴</t>
  </si>
  <si>
    <t>v3\ItemIcon\Dog_1016.png</t>
  </si>
  <si>
    <t>Ace Red Shiba</t>
  </si>
  <si>
    <t>王牌赤柴</t>
  </si>
  <si>
    <t>v3\ItemIcon\Dog_1017.png</t>
  </si>
  <si>
    <t>Biker Black Shiba</t>
  </si>
  <si>
    <t>机车黑柴</t>
  </si>
  <si>
    <t>v3\ItemIcon\Dog_1018.png</t>
  </si>
  <si>
    <t>Socialite Cream Shiba</t>
  </si>
  <si>
    <t>名媛白柴</t>
  </si>
  <si>
    <t>v3\ItemIcon\Dog_1019.png</t>
  </si>
  <si>
    <t>Five-Star General Sesame Shiba</t>
  </si>
  <si>
    <t>五星上将胡麻柴</t>
  </si>
  <si>
    <t>v3\ItemIcon\Dog_1020.png</t>
  </si>
  <si>
    <t>Five-Star General Black Shiba</t>
  </si>
  <si>
    <t>五星上将黑柴</t>
  </si>
  <si>
    <t>v3\ItemIcon\Dog_1021.png</t>
  </si>
  <si>
    <t>Tough Guy Cream Shiba</t>
  </si>
  <si>
    <t>硬汉白柴</t>
  </si>
  <si>
    <t>v3\ItemIcon\Dog_1022.png</t>
  </si>
  <si>
    <t>Manager Red Shiba</t>
  </si>
  <si>
    <t>经理赤柴</t>
  </si>
  <si>
    <t>v3\ItemIcon\Dog_1023.png</t>
  </si>
  <si>
    <t>Director Black Shiba</t>
  </si>
  <si>
    <t>总监黑柴</t>
  </si>
  <si>
    <t>v3\ItemIcon\Dog_1024.png</t>
  </si>
  <si>
    <t>Secretary Cream Shiba</t>
  </si>
  <si>
    <t>秘书白柴</t>
  </si>
  <si>
    <t>v3\ItemIcon\Dog_1025.png</t>
  </si>
  <si>
    <t>Senior Advisor Sesame Shiba</t>
  </si>
  <si>
    <t>资深顾问胡麻柴</t>
  </si>
  <si>
    <t>v3\ItemIcon\Dog_1026.png</t>
  </si>
  <si>
    <t>Legal Counsel Cream Shiba</t>
  </si>
  <si>
    <t>法务白柴</t>
  </si>
  <si>
    <t>v3\ItemIcon\Dog_1027.png</t>
  </si>
  <si>
    <t>Trendsetter Red Shiba</t>
  </si>
  <si>
    <t>潮玩赤柴</t>
  </si>
  <si>
    <t>v3\ItemIcon\Dog_1028.png</t>
  </si>
  <si>
    <t>Movie Buff Cream Shiba</t>
  </si>
  <si>
    <t>影迷白柴</t>
  </si>
  <si>
    <t>v3\ItemIcon\Dog_1029.png</t>
  </si>
  <si>
    <t>Trendsetter Sesame Shiba</t>
  </si>
  <si>
    <t>潮玩胡麻柴</t>
  </si>
  <si>
    <t>v3\ItemIcon\Dog_1030.png</t>
  </si>
  <si>
    <t>Raider Red Shiba</t>
  </si>
  <si>
    <t>掠夺者赤柴</t>
  </si>
  <si>
    <t>v3\ItemIcon\Dog_1031.png</t>
  </si>
  <si>
    <t>One-Eyed Black Shiba</t>
  </si>
  <si>
    <t>独眼黑柴</t>
  </si>
  <si>
    <t>v3\ItemIcon\Dog_1032.png</t>
  </si>
  <si>
    <t>Pirate Sesame Shiba</t>
  </si>
  <si>
    <t>海盗胡麻柴</t>
  </si>
  <si>
    <t>v3\ItemIcon\Dog_1033.png</t>
  </si>
  <si>
    <t>Cyber Red Shiba</t>
  </si>
  <si>
    <t>赛博赤柴</t>
  </si>
  <si>
    <t>v3\ItemIcon\Dog_1034.png</t>
  </si>
  <si>
    <t>Hacker Black Shiba</t>
  </si>
  <si>
    <t>黑客黑柴</t>
  </si>
  <si>
    <t>v3\ItemIcon\Dog_1035.png</t>
  </si>
  <si>
    <t>Cool Girl Cream Shiba</t>
  </si>
  <si>
    <t>酷妹白柴</t>
  </si>
  <si>
    <t>v3\ItemIcon\Dog_1036.png</t>
  </si>
  <si>
    <t>Night Owl Sesame Shiba</t>
  </si>
  <si>
    <t>夜客胡麻柴</t>
  </si>
  <si>
    <t>v3\ItemIcon\Dog_1037.png</t>
  </si>
  <si>
    <t/>
  </si>
  <si>
    <t>Green Beret</t>
  </si>
  <si>
    <t>绿色贝雷帽</t>
  </si>
  <si>
    <t>Headwear</t>
  </si>
  <si>
    <t>v2\Headwear\Beret_Green.png</t>
  </si>
  <si>
    <t>v2\ItemIcon\Headwear_Beret_Green.png</t>
  </si>
  <si>
    <t>Red Beret</t>
  </si>
  <si>
    <t>红色贝雷帽</t>
  </si>
  <si>
    <t>v2\Headwear\Beret_Red.png</t>
  </si>
  <si>
    <t>v2\ItemIcon\Headwear_Beret_Red.png</t>
  </si>
  <si>
    <t>Gray Fedora Hat</t>
  </si>
  <si>
    <t>灰色软呢帽</t>
  </si>
  <si>
    <t>v2\Headwear\FedoraHat_Gray.png</t>
  </si>
  <si>
    <t>v2\ItemIcon\Headwear_FedoraHat_Gray.png</t>
  </si>
  <si>
    <t>Maroon Fedora Hat</t>
  </si>
  <si>
    <t>栗色软呢帽</t>
  </si>
  <si>
    <t>v2\Headwear\FedoraHat_Maroon.png</t>
  </si>
  <si>
    <t>v2\ItemIcon\Headwear_FedoraHat_Maroon.png</t>
  </si>
  <si>
    <t>Halo</t>
  </si>
  <si>
    <t>光环</t>
  </si>
  <si>
    <t>v2\Headwear\Hole.png</t>
  </si>
  <si>
    <t>v2\ItemIcon\Headwear_Hole.png</t>
  </si>
  <si>
    <t>Lucky Hat</t>
  </si>
  <si>
    <t>幸运帽</t>
  </si>
  <si>
    <t>v2\Headwear\LuckyHat.png</t>
  </si>
  <si>
    <t>v2\ItemIcon\Headwear_LuckyHat.png</t>
  </si>
  <si>
    <t>Black Magic Hat</t>
  </si>
  <si>
    <t>黑色魔术帽</t>
  </si>
  <si>
    <t>v2\Headwear\MagicHat_Black.png</t>
  </si>
  <si>
    <t>v2\ItemIcon\Headwear_MagicHat_Black.png</t>
  </si>
  <si>
    <t>White Magic Hat</t>
  </si>
  <si>
    <t>白色魔术帽</t>
  </si>
  <si>
    <t>v2\Headwear\MagicHat_White.png</t>
  </si>
  <si>
    <t>v2\ItemIcon\Headwear_MagicHat_White.png</t>
  </si>
  <si>
    <t>Beige Sun Hat</t>
  </si>
  <si>
    <t>米色太阳帽</t>
  </si>
  <si>
    <t>v2\Headwear\SunHat_Beige.png</t>
  </si>
  <si>
    <t>v2\ItemIcon\Headwear_SunHat_Beige.png</t>
  </si>
  <si>
    <t>Blue Sun Hat</t>
  </si>
  <si>
    <t>蓝色太阳帽</t>
  </si>
  <si>
    <t>v2\Headwear\SunHat_Blue.png</t>
  </si>
  <si>
    <t>v2\ItemIcon\Headwear_SunHat_Blue.png</t>
  </si>
  <si>
    <t>Red Tyrolean Hat</t>
  </si>
  <si>
    <t>红色蒂罗尔帽</t>
  </si>
  <si>
    <t>v2\Headwear\TyroleanHat_Red.png</t>
  </si>
  <si>
    <t>v2\ItemIcon\Headwear_TyroleanHat_Red.png</t>
  </si>
  <si>
    <t>Green Tyrolean Hat</t>
  </si>
  <si>
    <t>绿色蒂罗尔帽</t>
  </si>
  <si>
    <t>v2\Headwear\TyroleanHat_Green.png</t>
  </si>
  <si>
    <t>v2\ItemIcon\Headwear_TyroleanHat_Green.png</t>
  </si>
  <si>
    <t>American Police Cap Blue</t>
  </si>
  <si>
    <t>AmericanPoliceCap_Blue</t>
  </si>
  <si>
    <t>v2\Headwear\AmericanPoliceCap_Blue.png</t>
  </si>
  <si>
    <t>v2\ItemIcon\Headwear_AmericanPoliceCap_Blue.png</t>
  </si>
  <si>
    <t>American Police Cap Black</t>
  </si>
  <si>
    <t>AmericanPoliceCap_Black</t>
  </si>
  <si>
    <t>v2\Headwear\AmericanPoliceCap_Black.png</t>
  </si>
  <si>
    <t>v2\ItemIcon\Headwear_AmericanPoliceCap_Black.png</t>
  </si>
  <si>
    <t>Japan Police Cap Blue</t>
  </si>
  <si>
    <t>JapanPoliceCap_Blue</t>
  </si>
  <si>
    <t>v2\Headwear\JapanPoliceCap_Blue.png</t>
  </si>
  <si>
    <t>v2\ItemIcon\Headwear_JapanPoliceCap_Blue.png</t>
  </si>
  <si>
    <t>Pearl Turban Delft</t>
  </si>
  <si>
    <t>PearlTurban_Delft</t>
  </si>
  <si>
    <t>v2\Headwear\PearlTurban_Delft.png</t>
  </si>
  <si>
    <t>v2\ItemIcon\Headwear_PearlTurban_Delft.png</t>
  </si>
  <si>
    <t>Pearl Turban Sweat Drop</t>
  </si>
  <si>
    <t>PearlTurban_SweatDrop</t>
  </si>
  <si>
    <t>v2\Headwear\PearlTurban_SweatDrop.png</t>
  </si>
  <si>
    <t>v2\ItemIcon\Headwear_PearlTurban_SweatDrop.png</t>
  </si>
  <si>
    <t>Captain Cap Admiral</t>
  </si>
  <si>
    <t>CaptainCap_Admiral</t>
  </si>
  <si>
    <t>v2\Headwear\CaptainCap_Admiral.png</t>
  </si>
  <si>
    <t>v2\ItemIcon\Headwear_CaptainCap_Admiral.png</t>
  </si>
  <si>
    <t>Five Star Commander Cap</t>
  </si>
  <si>
    <t>FiveStarCommanderCap</t>
  </si>
  <si>
    <t>v2\Headwear\FiveStarCommanderCap.png</t>
  </si>
  <si>
    <t>v2\ItemIcon\Headwear_FiveStarCommanderCap.png</t>
  </si>
  <si>
    <t>Japan Police Cap Green</t>
  </si>
  <si>
    <t>JapanPoliceCap_Green</t>
  </si>
  <si>
    <t>v2\Headwear\JapanPoliceCap_Green.png</t>
  </si>
  <si>
    <t>v2\ItemIcon\Headwear_JapanPoliceCap_Green.png</t>
  </si>
  <si>
    <t>American Police Cap Red</t>
  </si>
  <si>
    <t>AmericanPoliceCap_Red</t>
  </si>
  <si>
    <t>v2\Headwear\AmericanPoliceCap_Red.png</t>
  </si>
  <si>
    <t>v2\ItemIcon\Headwear_AmericanPoliceCap_Red.png</t>
  </si>
  <si>
    <t>Sailor Cap Cruise</t>
  </si>
  <si>
    <t>SailorCap_Cruise</t>
  </si>
  <si>
    <t>v2\Headwear\SailorCap_Cruise.png</t>
  </si>
  <si>
    <t>v2\ItemIcon\Headwear_SailorCap_Cruise.png</t>
  </si>
  <si>
    <t>Sailor Cap Cargo</t>
  </si>
  <si>
    <t>SailorCap_Cargo</t>
  </si>
  <si>
    <t>v2\Headwear\SailorCap_Cargo.png</t>
  </si>
  <si>
    <t>v2\ItemIcon\Headwear_SailorCap_Cargo.png</t>
  </si>
  <si>
    <t>Sailor Cap Harbor</t>
  </si>
  <si>
    <t>SailorCap_Harbor</t>
  </si>
  <si>
    <t>v2\Headwear\SailorCap_Harbor.png</t>
  </si>
  <si>
    <t>v2\ItemIcon\Headwear_SailorCap_Harbor.png</t>
  </si>
  <si>
    <t>Chef Hat White</t>
  </si>
  <si>
    <t>ChefHat_White</t>
  </si>
  <si>
    <t>v2\Headwear\ChefHat_White.png</t>
  </si>
  <si>
    <t>v2\ItemIcon\Headwear_ChefHat_White.png</t>
  </si>
  <si>
    <t>Chef Hat Black</t>
  </si>
  <si>
    <t>ChefHat_Black</t>
  </si>
  <si>
    <t>v2\Headwear\ChefHat_Black.png</t>
  </si>
  <si>
    <t>v2\ItemIcon\Headwear_ChefHat_Black.png</t>
  </si>
  <si>
    <t>Chef Hat Red</t>
  </si>
  <si>
    <t>ChefHat_Red</t>
  </si>
  <si>
    <t>v2\Headwear\ChefHat_Red.png</t>
  </si>
  <si>
    <t>v2\ItemIcon\Headwear_ChefHat_Red.png</t>
  </si>
  <si>
    <t>Viking Helmet Norway</t>
  </si>
  <si>
    <t>VikingHelmet_Norway</t>
  </si>
  <si>
    <t>v2\Headwear\VikingHelmet_Norway.png</t>
  </si>
  <si>
    <t>v2\ItemIcon\Headwear_VikingHelmet_Norway.png</t>
  </si>
  <si>
    <t>Viking Helmet Classic</t>
  </si>
  <si>
    <t>VikingHelmet_Classic</t>
  </si>
  <si>
    <t>v2\Headwear\VikingHelmet_Classic.png</t>
  </si>
  <si>
    <t>v2\ItemIcon\Headwear_VikingHelmet_Classic.png</t>
  </si>
  <si>
    <t>Viking Helmet Emerald</t>
  </si>
  <si>
    <t>VikingHelmet_Emerald</t>
  </si>
  <si>
    <t>v2\Headwear\VikingHelmet_Emerald.png</t>
  </si>
  <si>
    <t>v2\ItemIcon\Headwear_VikingHelmet_Emerald.png</t>
  </si>
  <si>
    <t>Painter Beret Classic</t>
  </si>
  <si>
    <t>PainterBeret_Classic</t>
  </si>
  <si>
    <t>v2\Headwear\PainterBeret_Classic.png</t>
  </si>
  <si>
    <t>v2\ItemIcon\Headwear_PainterBeret_Classic.png</t>
  </si>
  <si>
    <t>Painter Beret Cream</t>
  </si>
  <si>
    <t>PainterBeret_Cream</t>
  </si>
  <si>
    <t>v2\Headwear\PainterBeret_Cream.png</t>
  </si>
  <si>
    <t>v2\ItemIcon\Headwear_PainterBeret_Cream.png</t>
  </si>
  <si>
    <t>Painter Beret Orange Dutch</t>
  </si>
  <si>
    <t>PainterBeret_OrangeDutch</t>
  </si>
  <si>
    <t>v2\Headwear\PainterBeret_OrangeDutch.png</t>
  </si>
  <si>
    <t>v2\ItemIcon\Headwear_PainterBeret_OrangeDutch.png</t>
  </si>
  <si>
    <t>Autumn 2026 Graduation Cap</t>
  </si>
  <si>
    <t>2026秋季 学士帽</t>
  </si>
  <si>
    <t>特殊1</t>
  </si>
  <si>
    <t>活动产出</t>
  </si>
  <si>
    <t>v2\Headwear\GraduationCap_Autumn2026.png</t>
  </si>
  <si>
    <t>v2\ItemIcon\Headwear_GraduationCap_Autumn2026.png</t>
  </si>
  <si>
    <t>3001-3005墓碑</t>
  </si>
  <si>
    <t>3D Glasses</t>
  </si>
  <si>
    <t>3D眼镜</t>
  </si>
  <si>
    <t>Eyewear</t>
  </si>
  <si>
    <t>已下架</t>
  </si>
  <si>
    <t>v1\Eyewear\3DGlasses.png</t>
  </si>
  <si>
    <t>v1\ItemIcon\Eyewear_3DGlasses.png</t>
  </si>
  <si>
    <t>Type 1</t>
  </si>
  <si>
    <t>手臂颜色类型1</t>
  </si>
  <si>
    <t>Arm</t>
  </si>
  <si>
    <t>全球</t>
  </si>
  <si>
    <t>v1\Player\Arm\Type1.png</t>
  </si>
  <si>
    <t>v1\ItemIcon\Arm_Type1.png</t>
  </si>
  <si>
    <t>Type 2</t>
  </si>
  <si>
    <t>手臂颜色类型2</t>
  </si>
  <si>
    <t>v1\Player\Arm\Type2.png</t>
  </si>
  <si>
    <t>v1\ItemIcon\Arm_Type2.png</t>
  </si>
  <si>
    <t>Type 3</t>
  </si>
  <si>
    <t>手臂颜色类型3</t>
  </si>
  <si>
    <t>v1\Player\Arm\Type3.png</t>
  </si>
  <si>
    <t>v1\ItemIcon\Arm_Type3.png</t>
  </si>
  <si>
    <t>Type 4</t>
  </si>
  <si>
    <t>手臂颜色类型4</t>
  </si>
  <si>
    <t>v1\Player\Arm\Type4.png</t>
  </si>
  <si>
    <t>v1\ItemIcon\Arm_Type4.png</t>
  </si>
  <si>
    <t>Type 5</t>
  </si>
  <si>
    <t>手臂颜色类型5</t>
  </si>
  <si>
    <t>v1\Player\Arm\Type5.png</t>
  </si>
  <si>
    <t>v1\ItemIcon\Arm_Type5.png</t>
  </si>
  <si>
    <t>Type 6</t>
  </si>
  <si>
    <t>手臂颜色类型6</t>
  </si>
  <si>
    <t>v1\Player\Arm\Type6.png</t>
  </si>
  <si>
    <t>v1\ItemIcon\Arm_Type6.png</t>
  </si>
  <si>
    <t>Baseball Jacket Black</t>
  </si>
  <si>
    <t>黑色棒球夹克</t>
  </si>
  <si>
    <t>Clothes</t>
  </si>
  <si>
    <t>v1\Player\Clothes\BaseballJacket_Black.png</t>
  </si>
  <si>
    <t>v1\ItemIcon\Clothes_BaseballJacket_Black.png</t>
  </si>
  <si>
    <t>Baseball Jacket Purple</t>
  </si>
  <si>
    <t>紫色棒球夹克</t>
  </si>
  <si>
    <t>v1\Player\Clothes\BaseballJacket_Purple.png</t>
  </si>
  <si>
    <t>v1\ItemIcon\Clothes_BaseballJacket_Purple.png</t>
  </si>
  <si>
    <t>Black Business Suit</t>
  </si>
  <si>
    <t>黑色西装</t>
  </si>
  <si>
    <t>v1\Player\Clothes\BlackBusinessSuit_Black.png</t>
  </si>
  <si>
    <t>v1\ItemIcon\Clothes_BlackBusinessSuit_Black.png</t>
  </si>
  <si>
    <t>Blue Shirt</t>
  </si>
  <si>
    <t>蓝色衬衫</t>
  </si>
  <si>
    <t>v1\Player\Clothes\BlueShirt_Cyan.png</t>
  </si>
  <si>
    <t>v1\ItemIcon\Clothes_BlueShirt_Cyan.png</t>
  </si>
  <si>
    <t>Blue Striped Shirt</t>
  </si>
  <si>
    <t>蓝色条纹衬衫</t>
  </si>
  <si>
    <t>v1\Player\Clothes\BlueStripedShirt_RegattaStripe.png</t>
  </si>
  <si>
    <t>v1\ItemIcon\Clothes_BlueStripedShirt_RegattaStripe.png</t>
  </si>
  <si>
    <t>Cream Shirt</t>
  </si>
  <si>
    <t>米色衬衫</t>
  </si>
  <si>
    <t>v1\Player\Clothes\CreamShirt_Beige.png</t>
  </si>
  <si>
    <t>v1\ItemIcon\Clothes_CreamShirt_Beige.png</t>
  </si>
  <si>
    <t>White Business Suit</t>
  </si>
  <si>
    <t>白色西装</t>
  </si>
  <si>
    <t>v1\Player\Clothes\WhiteBusinessSuit_LightGray.png</t>
  </si>
  <si>
    <t>v1\ItemIcon\Clothes_WhiteBusinessSuit_LightGray.png</t>
  </si>
  <si>
    <t>White Shirt</t>
  </si>
  <si>
    <t>白色衬衫</t>
  </si>
  <si>
    <t>v1\Player\Clothes\WhiteShirt_White.png</t>
  </si>
  <si>
    <t>v1\ItemIcon\Clothes_WhiteShirt_White.png</t>
  </si>
  <si>
    <t>Felt Emerald</t>
  </si>
  <si>
    <t>翡翠绿桌布</t>
  </si>
  <si>
    <t>Table</t>
  </si>
  <si>
    <t>v1\Table\Felt_Emerald.png</t>
  </si>
  <si>
    <t>v1\ItemIcon\Table_Felt_Emerald.png</t>
  </si>
  <si>
    <t>Red Bone</t>
  </si>
  <si>
    <t>红骨桌布</t>
  </si>
  <si>
    <t>v1\Table\RedBone.png</t>
  </si>
  <si>
    <t>v1\ItemIcon\Table_RedBone.png</t>
  </si>
  <si>
    <t>Howl Club</t>
  </si>
  <si>
    <t>Howl Club桌布</t>
  </si>
  <si>
    <t>v1\Table\HowlClub.png</t>
  </si>
  <si>
    <t>v1\ItemIcon\Table_HowlClub.png</t>
  </si>
  <si>
    <t>Le Cercle Des Pattes</t>
  </si>
  <si>
    <t>Le Cercle Des Pattes桌布</t>
  </si>
  <si>
    <t>v1\Table\LeCercleDesPattes.png</t>
  </si>
  <si>
    <t>v1\ItemIcon\Table_LeCercleDesPattes.png</t>
  </si>
  <si>
    <t>Pawstral</t>
  </si>
  <si>
    <t>Pawstral桌布</t>
  </si>
  <si>
    <t>v1\Table\Pawstral.png</t>
  </si>
  <si>
    <t>v1\ItemIcon\Table_Pawstral.png</t>
  </si>
  <si>
    <t>Muscle</t>
  </si>
  <si>
    <t>Muscle桌布</t>
  </si>
  <si>
    <t>v1\Table\Muscle.png</t>
  </si>
  <si>
    <t>v1\ItemIcon\Table_Muscle.png</t>
  </si>
  <si>
    <t>Paw Cast</t>
  </si>
  <si>
    <t>Paw Cast桌布</t>
  </si>
  <si>
    <t>v1\Table\PawCast.png</t>
  </si>
  <si>
    <t>v1\ItemIcon\Table_PawCast.png</t>
  </si>
  <si>
    <t>Felt Pure Indigo</t>
  </si>
  <si>
    <t>纯靛蓝桌布</t>
  </si>
  <si>
    <t>v1\Table\Felt_PureIndigo.png</t>
  </si>
  <si>
    <t>v1\ItemIcon\Table_Felt_PureIndigo.png</t>
  </si>
  <si>
    <t>Felt Pure Purple</t>
  </si>
  <si>
    <t>纯紫色桌布</t>
  </si>
  <si>
    <t>v1\Table\Felt_PurePurple.png</t>
  </si>
  <si>
    <t>v1\ItemIcon\Table_Felt_PurePurple.png</t>
  </si>
  <si>
    <t>Felt Pure Teal</t>
  </si>
  <si>
    <t>纯青色桌布</t>
  </si>
  <si>
    <t>v1\Table\Felt_PureTeal.png</t>
  </si>
  <si>
    <t>v1\ItemIcon\Table_Felt_PureTeal.png</t>
  </si>
  <si>
    <t>The King of Howl</t>
  </si>
  <si>
    <t>The King of Howl桌布</t>
  </si>
  <si>
    <t>v1\Table\TheKingOfHowl.png</t>
  </si>
  <si>
    <t>v1\ItemIcon\Table_TheKingOfHowl.png</t>
  </si>
  <si>
    <t>Blue A</t>
  </si>
  <si>
    <t>蓝色A</t>
  </si>
  <si>
    <t>Background</t>
  </si>
  <si>
    <t>v1\Background\BlueA.png</t>
  </si>
  <si>
    <t>v1\ItemIcon\Background_BlueA.png</t>
  </si>
  <si>
    <t>Brown A</t>
  </si>
  <si>
    <t>棕色A</t>
  </si>
  <si>
    <t>v1\Background\BrownA.png</t>
  </si>
  <si>
    <t>v1\ItemIcon\Background_BrownA.png</t>
  </si>
  <si>
    <t>Brown B</t>
  </si>
  <si>
    <t>棕色B</t>
  </si>
  <si>
    <t>v1\Background\BrownB.png</t>
  </si>
  <si>
    <t>v1\ItemIcon\Background_BrownB.png</t>
  </si>
  <si>
    <t>Gray A</t>
  </si>
  <si>
    <t>灰色A</t>
  </si>
  <si>
    <t>v1\Background\GrayA.png</t>
  </si>
  <si>
    <t>v1\ItemIcon\Background_GrayA.png</t>
  </si>
  <si>
    <t>Gray B</t>
  </si>
  <si>
    <t>灰色B</t>
  </si>
  <si>
    <t>v1\Background\GrayB.png</t>
  </si>
  <si>
    <t>v1\ItemIcon\Background_GrayB.png</t>
  </si>
  <si>
    <t>Green A</t>
  </si>
  <si>
    <t>绿色A</t>
  </si>
  <si>
    <t>v1\Background\GreenA.png</t>
  </si>
  <si>
    <t>v1\ItemIcon\Background_GreenA.png</t>
  </si>
  <si>
    <t>Green B</t>
  </si>
  <si>
    <t>绿色B</t>
  </si>
  <si>
    <t>v1\Background\GreenB.png</t>
  </si>
  <si>
    <t>v1\ItemIcon\Background_GreenB.png</t>
  </si>
  <si>
    <t>Evergreen Parlor</t>
  </si>
  <si>
    <t>常青厅</t>
  </si>
  <si>
    <t>v1\Background\EvergreenParlor.png</t>
  </si>
  <si>
    <t>v1\ItemIcon\Background_EvergreenParlor.png</t>
  </si>
  <si>
    <t>Orange A</t>
  </si>
  <si>
    <t>橙色A</t>
  </si>
  <si>
    <t>v1\Background\OrangeA.png</t>
  </si>
  <si>
    <t>v1\ItemIcon\Background_OrangeA.png</t>
  </si>
  <si>
    <t>Honey Hall</t>
  </si>
  <si>
    <t>蜂蜜厅</t>
  </si>
  <si>
    <t>v1\Background\HoneyHall.png</t>
  </si>
  <si>
    <t>v1\ItemIcon\Background_HoneyHall.png</t>
  </si>
  <si>
    <t>Pink A</t>
  </si>
  <si>
    <t>粉色A</t>
  </si>
  <si>
    <t>v1\Background\PinkA.png</t>
  </si>
  <si>
    <t>v1\ItemIcon\Background_PinkA.png</t>
  </si>
  <si>
    <t>Midnight Theater</t>
  </si>
  <si>
    <t>午夜剧场</t>
  </si>
  <si>
    <t>v1\Background\MidnightTheater.png</t>
  </si>
  <si>
    <t>v1\ItemIcon\Background_MidnightTheater.png</t>
  </si>
  <si>
    <t>Purple A</t>
  </si>
  <si>
    <t>紫色A</t>
  </si>
  <si>
    <t>v1\Background\PurpleA.png</t>
  </si>
  <si>
    <t>v1\ItemIcon\Background_PurpleA.png</t>
  </si>
  <si>
    <t>Red A</t>
  </si>
  <si>
    <t>红色A</t>
  </si>
  <si>
    <t>v1\Background\RedA.png</t>
  </si>
  <si>
    <t>v1\ItemIcon\Background_RedA.png</t>
  </si>
  <si>
    <t>Red B</t>
  </si>
  <si>
    <t>红色B</t>
  </si>
  <si>
    <t>v1\Background\RedB.png</t>
  </si>
  <si>
    <t>v1\ItemIcon\Background_RedB.png</t>
  </si>
  <si>
    <t>Twitter Blue</t>
  </si>
  <si>
    <t>Twitter蓝</t>
  </si>
  <si>
    <t>v1\Background\TwitterBlue.png</t>
  </si>
  <si>
    <t>v1\ItemIcon\Background_TwitterBlue.png</t>
  </si>
  <si>
    <t>Sage Manor</t>
  </si>
  <si>
    <t>鼠尾草庄园</t>
  </si>
  <si>
    <t>v1\Background\SageManor.png</t>
  </si>
  <si>
    <t>v1\ItemIcon\Background_SageManor.png</t>
  </si>
  <si>
    <t>Yellow A</t>
  </si>
  <si>
    <t>黄色A</t>
  </si>
  <si>
    <t>v1\Background\YellowA.png</t>
  </si>
  <si>
    <t>v1\ItemIcon\Background_YellowA.png</t>
  </si>
  <si>
    <t>Evergreen Parlor Burgundy</t>
  </si>
  <si>
    <t>酒红常青厅</t>
  </si>
  <si>
    <t>v1\Background\EvergreenParlor_Burgundy.png</t>
  </si>
  <si>
    <t>v1\ItemIcon\Background_EvergreenParlor_Burgundy.png</t>
  </si>
  <si>
    <t>Canine D21</t>
  </si>
  <si>
    <t>Canine D21手表</t>
  </si>
  <si>
    <t>Accessory</t>
  </si>
  <si>
    <t>v1\Player\Accessory\Canine_D21.png</t>
  </si>
  <si>
    <t>v1\ItemIcon\Accessory_Canine_D21.png</t>
  </si>
  <si>
    <t>Canine D88</t>
  </si>
  <si>
    <t>Canine D88手表</t>
  </si>
  <si>
    <t>v1\Player\Accessory\Canine_D88.png</t>
  </si>
  <si>
    <t>v1\ItemIcon\Accessory_Canine_D88.png</t>
  </si>
  <si>
    <t>Bracelet Feng Shui</t>
  </si>
  <si>
    <t>风水手链</t>
  </si>
  <si>
    <t>v1\Player\Accessory\Bracelet_FengShui.png</t>
  </si>
  <si>
    <t>v1\ItemIcon\Accessory_Bracelet_FengShui.png</t>
  </si>
  <si>
    <t>Bracelet Good Luck</t>
  </si>
  <si>
    <t>好运手链</t>
  </si>
  <si>
    <t>v1\Player\Accessory\Bracelet_GoodLuck.png</t>
  </si>
  <si>
    <t>v1\ItemIcon\Accessory_Bracelet_GoodLuck.png</t>
  </si>
  <si>
    <t>Royal Mariner Onyx</t>
  </si>
  <si>
    <t>黑色Royal Mariner</t>
  </si>
  <si>
    <t>v1\Player\Accessory\RoyalMariner_Onyx.png</t>
  </si>
  <si>
    <t>v1\ItemIcon\Accessory_RoyalMariner_Onyx.png</t>
  </si>
  <si>
    <t>Royal Mariner Emerald</t>
  </si>
  <si>
    <t>绿色Royal Mariner</t>
  </si>
  <si>
    <t>v1\Player\Accessory\RoyalMariner_Emerald.png</t>
  </si>
  <si>
    <t>v1\ItemIcon\Accessory_RoyalMariner_Emerald.png</t>
  </si>
  <si>
    <t>Text Wristband Green</t>
  </si>
  <si>
    <t>绿色文字腕带</t>
  </si>
  <si>
    <t>v1\Player\Accessory\TextWristband_Green.png</t>
  </si>
  <si>
    <t>v1\ItemIcon\Accessory_TextWristband_Green.png</t>
  </si>
  <si>
    <t>Text Wristband Red</t>
  </si>
  <si>
    <t>红色文字腕带</t>
  </si>
  <si>
    <t>v1\Player\Accessory\TextWristband_Red.png</t>
  </si>
  <si>
    <t>v1\ItemIcon\Accessory_TextWristband_Red.png</t>
  </si>
  <si>
    <t>Champion Gold Bracelet</t>
  </si>
  <si>
    <t>冠军金手链</t>
  </si>
  <si>
    <t>v1\Player\Accessory\ChampionGoldBracelet.png</t>
  </si>
  <si>
    <t>v1\ItemIcon\Accessory_ChampionGoldBracelet.png</t>
  </si>
  <si>
    <t>Canine D35</t>
  </si>
  <si>
    <t>Canine D35手表</t>
  </si>
  <si>
    <t>v1\Player\Accessory\Canine_D35.png</t>
  </si>
  <si>
    <t>v1\ItemIcon\Accessory_Canine_D35.png</t>
  </si>
  <si>
    <t>Royal Mariner Ruby</t>
  </si>
  <si>
    <t>红色Royal Mariner</t>
  </si>
  <si>
    <t>v1\Player\Accessory\RoyalMariner_Ruby.png</t>
  </si>
  <si>
    <t>v1\ItemIcon\Accessory_RoyalMariner_Ruby.png</t>
  </si>
  <si>
    <t>Black Tea</t>
  </si>
  <si>
    <t>红茶</t>
  </si>
  <si>
    <t>Refreshment</t>
  </si>
  <si>
    <t>消耗品盲盒产出</t>
  </si>
  <si>
    <t>v1\Treat\BlackTea.png</t>
  </si>
  <si>
    <t>v1\ItemIcon\Treat_BlackTea.png</t>
  </si>
  <si>
    <t>Bordeaux</t>
  </si>
  <si>
    <t>波尔多</t>
  </si>
  <si>
    <t>沙特阿拉伯|阿联酋|马来西亚|印尼</t>
  </si>
  <si>
    <t>v1\Treat\Bordeaux.png</t>
  </si>
  <si>
    <t>v1\ItemIcon\Treat_Bordeaux.png</t>
  </si>
  <si>
    <t>一些国家不允许饮酒，替换成水</t>
  </si>
  <si>
    <t>Burgundy</t>
  </si>
  <si>
    <t>勃艮第</t>
  </si>
  <si>
    <t>v1\Treat\Burgundy.png</t>
  </si>
  <si>
    <t>v1\ItemIcon\Treat_Burgundy.png</t>
  </si>
  <si>
    <t>Champagne</t>
  </si>
  <si>
    <t>香槟</t>
  </si>
  <si>
    <t>v1\Treat\Chardonnay.png</t>
  </si>
  <si>
    <t>v1\ItemIcon\Treat_Chardonnay.png</t>
  </si>
  <si>
    <t>Shot Glass</t>
  </si>
  <si>
    <t>子弹杯</t>
  </si>
  <si>
    <t>v1\Treat\ShotGlass.png</t>
  </si>
  <si>
    <t>v1\ItemIcon\Treat_ShotGlass.png</t>
  </si>
  <si>
    <t>Tulip</t>
  </si>
  <si>
    <t>郁金香杯</t>
  </si>
  <si>
    <t>v1\Treat\Tulip.png</t>
  </si>
  <si>
    <t>v1\ItemIcon\Treat_Tulip.png</t>
  </si>
  <si>
    <t>Tumbler</t>
  </si>
  <si>
    <t>平底杯</t>
  </si>
  <si>
    <t>v1\Treat\Tumbler.png</t>
  </si>
  <si>
    <t>v1\ItemIcon\Treat_Tumbler.png</t>
  </si>
  <si>
    <t>Vintage</t>
  </si>
  <si>
    <t>年份酒</t>
  </si>
  <si>
    <t>v1\Treat\Vintage.png</t>
  </si>
  <si>
    <t>v1\ItemIcon\Treat_Vintage.png</t>
  </si>
  <si>
    <t>Water</t>
  </si>
  <si>
    <t>凉白开</t>
  </si>
  <si>
    <t>v1\Treat\Water.png</t>
  </si>
  <si>
    <t>v1\ItemIcon\Treat_Water.png</t>
  </si>
  <si>
    <t>Whisky</t>
  </si>
  <si>
    <t>威士忌</t>
  </si>
  <si>
    <t>v1\Treat\Whisky.png</t>
  </si>
  <si>
    <t>v1\ItemIcon\Treat_Whisky.png</t>
  </si>
  <si>
    <t>Whisky Cigar</t>
  </si>
  <si>
    <t>威士忌雪茄</t>
  </si>
  <si>
    <t>v1\Treat\WhiskyCagar.png</t>
  </si>
  <si>
    <t>v1\ItemIcon\Treat_WhiskyCagar.png</t>
  </si>
  <si>
    <t>Basic Card Back</t>
  </si>
  <si>
    <t>基础背</t>
  </si>
  <si>
    <t>CardBack</t>
  </si>
  <si>
    <t>v1\CardBack\Basic.png</t>
  </si>
  <si>
    <t>v1\ItemIcon\CardBack_Basic.png</t>
  </si>
  <si>
    <t>Kibble Card Face</t>
  </si>
  <si>
    <t>狗粮卡面</t>
  </si>
  <si>
    <t>CardFace</t>
  </si>
  <si>
    <t>v1\CardFace\Classic\</t>
  </si>
  <si>
    <t>v1\ItemIcon\CardFace_Kibble.png</t>
  </si>
  <si>
    <t>开发阶段先临时用经典卡面</t>
  </si>
  <si>
    <t>Classic Card Face</t>
  </si>
  <si>
    <t>经典卡面</t>
  </si>
  <si>
    <t>v1\ItemIcon\CardFace_Classic.png</t>
  </si>
  <si>
    <t>Anchor Tattoo</t>
  </si>
  <si>
    <t>锚纹身</t>
  </si>
  <si>
    <t>BodyDecoration</t>
  </si>
  <si>
    <t>v1\Player\BodyDecoration\AnchorTattoo.png</t>
  </si>
  <si>
    <t>v1\ItemIcon\BodyDecoration_AnchorTattoo.png</t>
  </si>
  <si>
    <t>Hair</t>
  </si>
  <si>
    <t>体毛</t>
  </si>
  <si>
    <t>v1\Player\BodyDecoration\Hair.png</t>
  </si>
  <si>
    <t>v1\ItemIcon\BodyDecoration_Hair.png</t>
  </si>
  <si>
    <t>Cream Shiba Inu</t>
  </si>
  <si>
    <t>小红书</t>
  </si>
  <si>
    <t>Angel Halo</t>
  </si>
  <si>
    <t>天使光环</t>
  </si>
  <si>
    <t>推特</t>
  </si>
  <si>
    <t>53001墓碑</t>
  </si>
  <si>
    <t>Angel Golden Monocle</t>
  </si>
  <si>
    <t>金色单片镜</t>
  </si>
  <si>
    <t>v1\Eyewear\Monocle_golden.png</t>
  </si>
  <si>
    <t>v1\ItemIcon\Eyewear_Monocle_golden.png</t>
  </si>
  <si>
    <t>Hole</t>
  </si>
  <si>
    <t>测试活动功能帽</t>
  </si>
  <si>
    <t>测试活动功能使用</t>
  </si>
  <si>
    <t>Unshaven Sesame</t>
  </si>
  <si>
    <t>枚举用例</t>
  </si>
  <si>
    <t>小狗本体</t>
  </si>
  <si>
    <t>Mythic</t>
  </si>
  <si>
    <t>ALL</t>
  </si>
  <si>
    <t>在全部国家隐藏</t>
  </si>
  <si>
    <t>Default</t>
  </si>
  <si>
    <t>默认</t>
  </si>
  <si>
    <t>小狗头部装饰</t>
  </si>
  <si>
    <t>Legendary</t>
  </si>
  <si>
    <t>SA</t>
  </si>
  <si>
    <t>沙特阿拉伯</t>
  </si>
  <si>
    <t>Saudi Arabia赌博/宗教/酒精/色情/进化论</t>
  </si>
  <si>
    <t>Serious</t>
  </si>
  <si>
    <t>严肃</t>
  </si>
  <si>
    <t>小狗眼部装饰</t>
  </si>
  <si>
    <t>Epic</t>
  </si>
  <si>
    <t>AE</t>
  </si>
  <si>
    <t>阿联酋</t>
  </si>
  <si>
    <t>United Arab Emirates赌博/宗教/酒精/色情</t>
  </si>
  <si>
    <t>Bored</t>
  </si>
  <si>
    <t>无聊</t>
  </si>
  <si>
    <t>手臂层的装饰</t>
  </si>
  <si>
    <t>Rare</t>
  </si>
  <si>
    <t>IR</t>
  </si>
  <si>
    <t>伊朗</t>
  </si>
  <si>
    <t>Iran宗教/进化论/赌博/政治/西方文化</t>
  </si>
  <si>
    <t>Wink</t>
  </si>
  <si>
    <t>媚眼</t>
  </si>
  <si>
    <t>玩家手臂衣服</t>
  </si>
  <si>
    <t>Uncommon</t>
  </si>
  <si>
    <t>PK</t>
  </si>
  <si>
    <t>巴基斯坦</t>
  </si>
  <si>
    <t>Pakistan国家形象/政治</t>
  </si>
  <si>
    <t>Excited</t>
  </si>
  <si>
    <t>兴奋</t>
  </si>
  <si>
    <t>桌布</t>
  </si>
  <si>
    <t>Common</t>
  </si>
  <si>
    <t>MY</t>
  </si>
  <si>
    <t>马来西亚</t>
  </si>
  <si>
    <t>Malaysia赌博/暴力/LGBTQ/酒精</t>
  </si>
  <si>
    <t>Starstruck</t>
  </si>
  <si>
    <t>崇拜</t>
  </si>
  <si>
    <t>背景</t>
  </si>
  <si>
    <t>Special1</t>
  </si>
  <si>
    <t>ID</t>
  </si>
  <si>
    <t>印尼</t>
  </si>
  <si>
    <t>Indonesia赌博/暴力/LGBTQ/酒精</t>
  </si>
  <si>
    <t>Silent</t>
  </si>
  <si>
    <t>沉默</t>
  </si>
  <si>
    <t>玩家手部装饰</t>
  </si>
  <si>
    <t>Special2</t>
  </si>
  <si>
    <t>特殊2</t>
  </si>
  <si>
    <t>RU</t>
  </si>
  <si>
    <t>俄罗斯</t>
  </si>
  <si>
    <t>Russia赌博/LGBTQ/极端主义</t>
  </si>
  <si>
    <t>Reject</t>
  </si>
  <si>
    <t>拒绝</t>
  </si>
  <si>
    <t>消耗品</t>
  </si>
  <si>
    <t>CN</t>
  </si>
  <si>
    <t>中国</t>
  </si>
  <si>
    <t>China赌博/暴力/血腥/色情</t>
  </si>
  <si>
    <t>卡背</t>
  </si>
  <si>
    <t>KP</t>
  </si>
  <si>
    <t>朝鲜</t>
  </si>
  <si>
    <t>North Korea国际制裁/政治</t>
  </si>
  <si>
    <t>卡面</t>
  </si>
  <si>
    <t>SY</t>
  </si>
  <si>
    <t>叙利亚</t>
  </si>
  <si>
    <t>Syria国际制裁/政治/宗教</t>
  </si>
  <si>
    <t>体表装饰</t>
  </si>
  <si>
    <t>CU</t>
  </si>
  <si>
    <t>古巴</t>
  </si>
  <si>
    <t>Cuba国际制裁/政治</t>
  </si>
  <si>
    <t>Initial</t>
  </si>
  <si>
    <t>DecorationBlindBox</t>
  </si>
  <si>
    <t>RefreshmentBlindBox</t>
  </si>
  <si>
    <t>EventReward</t>
  </si>
  <si>
    <t>Retired</t>
  </si>
  <si>
    <t>DebugOnly</t>
  </si>
  <si>
    <t>仅调试</t>
  </si>
  <si>
    <t>SteamItemDef ID段分配</t>
  </si>
  <si>
    <t>分段</t>
  </si>
  <si>
    <t>100000-199999，1是给其分配的头，后面5位对应Item.id，规定 Item.Id &lt;= 99999，并由转换器校验，正式 Item：SteamItemDefId = 100000 + Item.Id。Playtest 专用 Item 可以改用 410000-499999，不受该映射公式约束。</t>
  </si>
  <si>
    <t>用途</t>
  </si>
  <si>
    <t>玩家实际拥有的内容物品</t>
  </si>
  <si>
    <t>示例</t>
  </si>
  <si>
    <r>
      <rPr>
        <sz val="12"/>
        <color theme="1"/>
        <rFont val="微软雅黑"/>
        <charset val="134"/>
      </rPr>
      <t>101xxx</t>
    </r>
    <r>
      <rPr>
        <sz val="12"/>
        <color theme="1"/>
        <rFont val="微软雅黑"/>
        <charset val="134"/>
      </rPr>
      <t xml:space="preserve"> 狗皮肤、</t>
    </r>
    <r>
      <rPr>
        <sz val="12"/>
        <color theme="1"/>
        <rFont val="微软雅黑"/>
        <charset val="134"/>
      </rPr>
      <t>102xxx</t>
    </r>
    <r>
      <rPr>
        <sz val="12"/>
        <color theme="1"/>
        <rFont val="微软雅黑"/>
        <charset val="134"/>
      </rPr>
      <t xml:space="preserve"> 头饰、</t>
    </r>
    <r>
      <rPr>
        <sz val="12"/>
        <color theme="1"/>
        <rFont val="微软雅黑"/>
        <charset val="134"/>
      </rPr>
      <t>103xxx</t>
    </r>
    <r>
      <rPr>
        <sz val="12"/>
        <color theme="1"/>
        <rFont val="微软雅黑"/>
        <charset val="134"/>
      </rPr>
      <t xml:space="preserve"> 眼镜</t>
    </r>
  </si>
  <si>
    <t>200000-299999</t>
  </si>
  <si>
    <t>可堆叠消耗品，例如盲盒券（开箱成本）、材料，通常放在玩家的Steam库存里，等待被玩家消耗</t>
  </si>
  <si>
    <t>细分</t>
  </si>
  <si>
    <t>201000-229999，应当与盲盒有所一一对应，SteamOpenCostItemDefId = 200000 + BlindBox.Id，采用该映射的 BlindBox.Id 必须为 1-29999，并由转换器校验。</t>
  </si>
  <si>
    <t>1001标准盲盒的盲盒券ID应当为201001</t>
  </si>
  <si>
    <t>230xxx 分配给后续内容，例如熔炼助燃剂材料</t>
  </si>
  <si>
    <t>300000-399999，可能不会和盲盒一一对应，多种途径都可以开启相同的权重随机池</t>
  </si>
  <si>
    <t>权重随机物品生成器，Generator、交换产物定义</t>
  </si>
  <si>
    <r>
      <rPr>
        <sz val="12"/>
        <color theme="1"/>
        <rFont val="微软雅黑"/>
        <charset val="134"/>
      </rPr>
      <t>301xxx</t>
    </r>
    <r>
      <rPr>
        <sz val="12"/>
        <color theme="1"/>
        <rFont val="微软雅黑"/>
        <charset val="134"/>
      </rPr>
      <t xml:space="preserve"> 盲盒 Generator、</t>
    </r>
    <r>
      <rPr>
        <sz val="12"/>
        <color theme="1"/>
        <rFont val="微软雅黑"/>
        <charset val="134"/>
      </rPr>
      <t>302xxx</t>
    </r>
    <r>
      <rPr>
        <sz val="12"/>
        <color theme="1"/>
        <rFont val="微软雅黑"/>
        <charset val="134"/>
      </rPr>
      <t xml:space="preserve"> 熔炼 Generator</t>
    </r>
  </si>
  <si>
    <t>400000-499999，仅输出到 Playtest，不得进入 Release schema。转换器以后要同时检查 SteamItemDef 和 Item.SteamItemDefId，因为测试物品也可能来自 Item 表。</t>
  </si>
  <si>
    <t>400000-409999，Playtest 历史测试区，永久冻结,不再新增正式定义</t>
  </si>
  <si>
    <t>410000-499999，为后续测试区。</t>
  </si>
  <si>
    <t>新增功能需要 Steam 实机测试时使用该分段</t>
  </si>
  <si>
    <t>使用时无需跨表对齐子 ID；每个新功能只需谨慎分配数十个ID</t>
  </si>
  <si>
    <t>500000-599999</t>
  </si>
  <si>
    <t>永久回执凭证，相当于是烙印，主要用于避免玩家重复领奖，也可以证明玩家参加过某些活动</t>
  </si>
  <si>
    <r>
      <rPr>
        <sz val="12"/>
        <color theme="1"/>
        <rFont val="微软雅黑"/>
        <charset val="134"/>
      </rPr>
      <t>501xxx</t>
    </r>
    <r>
      <rPr>
        <sz val="12"/>
        <color theme="1"/>
        <rFont val="微软雅黑"/>
        <charset val="134"/>
      </rPr>
      <t xml:space="preserve"> LinkTree、</t>
    </r>
    <r>
      <rPr>
        <sz val="12"/>
        <color theme="1"/>
        <rFont val="微软雅黑"/>
        <charset val="134"/>
      </rPr>
      <t>502xxx</t>
    </r>
    <r>
      <rPr>
        <sz val="12"/>
        <color theme="1"/>
        <rFont val="微软雅黑"/>
        <charset val="134"/>
      </rPr>
      <t xml:space="preserve"> 补偿中心</t>
    </r>
  </si>
  <si>
    <t>600000-699999，当前 LinkTree 和补偿领取 Bundle 通常与永久回执一一对应，但关联关系始终由表字段和 Bundle 配方决定，不依赖数字相同。</t>
  </si>
  <si>
    <t>正常用途是发固定奖励的礼包，也可以用于发带回执凭证的一揽子奖励，Promo/Claim Bundle</t>
  </si>
  <si>
    <r>
      <rPr>
        <sz val="12"/>
        <color theme="1"/>
        <rFont val="微软雅黑"/>
        <charset val="134"/>
      </rPr>
      <t>601xxx</t>
    </r>
    <r>
      <rPr>
        <sz val="12"/>
        <color theme="1"/>
        <rFont val="微软雅黑"/>
        <charset val="134"/>
      </rPr>
      <t xml:space="preserve"> LinkTree、</t>
    </r>
    <r>
      <rPr>
        <sz val="12"/>
        <color theme="1"/>
        <rFont val="微软雅黑"/>
        <charset val="134"/>
      </rPr>
      <t>602xxx</t>
    </r>
    <r>
      <rPr>
        <sz val="12"/>
        <color theme="1"/>
        <rFont val="微软雅黑"/>
        <charset val="134"/>
      </rPr>
      <t xml:space="preserve"> 补偿、</t>
    </r>
    <r>
      <rPr>
        <sz val="12"/>
        <color theme="1"/>
        <rFont val="微软雅黑"/>
        <charset val="134"/>
      </rPr>
      <t>603xxx</t>
    </r>
    <r>
      <rPr>
        <sz val="12"/>
        <color theme="1"/>
        <rFont val="微软雅黑"/>
        <charset val="134"/>
      </rPr>
      <t xml:space="preserve"> 新手礼包</t>
    </r>
  </si>
  <si>
    <t>700000-799999</t>
  </si>
  <si>
    <t>PlaytimeGenerator</t>
  </si>
  <si>
    <t>700000-709999  固定系统投放</t>
  </si>
  <si>
    <t>700xxx         新手一次性投放</t>
  </si>
  <si>
    <t>701xxx         长期循环投放</t>
  </si>
  <si>
    <t>702xxx-709xxx  固定功能预留</t>
  </si>
  <si>
    <t>710000-799999  限时活动投放，按顺序分配</t>
  </si>
  <si>
    <t>800000-999999</t>
  </si>
  <si>
    <t>未来功能预留</t>
  </si>
  <si>
    <t>Steam 市场、熔炼扩展等</t>
  </si>
  <si>
    <t>000001-099999，暂不使用，作为低位保留段。</t>
  </si>
  <si>
    <t>暂不使用，作为低位保留段。</t>
  </si>
  <si>
    <t>BoxType</t>
  </si>
  <si>
    <t>RewardSelectionMode</t>
  </si>
  <si>
    <t>DisplayMode</t>
  </si>
  <si>
    <t>CostChips</t>
  </si>
  <si>
    <t>HintValueMode</t>
  </si>
  <si>
    <t>MaxRevealClickCount</t>
  </si>
  <si>
    <t>AutoCollectSeconds</t>
  </si>
  <si>
    <t>HintIconPath</t>
  </si>
  <si>
    <t>IsPlatformInventoryRequired</t>
  </si>
  <si>
    <t>IsEnabled</t>
  </si>
  <si>
    <t>EBlindBoxType</t>
  </si>
  <si>
    <t>ERewardSelectionMode</t>
  </si>
  <si>
    <t>EBlindBoxDisplayMode</t>
  </si>
  <si>
    <t>EBlindBoxValueMode</t>
  </si>
  <si>
    <t>float</t>
  </si>
  <si>
    <t>BlindBox.Id &lt;= 29999</t>
  </si>
  <si>
    <t>策划/显示名称</t>
  </si>
  <si>
    <t>盲盒的奖励内容类别。用于约束奖池物品的投放类型；具体候选物品及权重由 BlindBoxItemWeight 按 BlindBoxId 配置。</t>
  </si>
  <si>
    <t>决定盲盒从自身奖池中选择奖励时，是否排除该盲盒此前已经抽中的物品。</t>
  </si>
  <si>
    <t>升级表演/直接展示</t>
  </si>
  <si>
    <t>基础固定价格，实际需乘以Config表里的倍率来使用</t>
  </si>
  <si>
    <t>装扮盲盒默认 3</t>
  </si>
  <si>
    <t>奖励展示后几秒自动收起</t>
  </si>
  <si>
    <t>装扮 true，消耗品 false
是必须使用当前平台的可信库存服务器</t>
  </si>
  <si>
    <t>临时开关</t>
  </si>
  <si>
    <t>奖励盒ID</t>
  </si>
  <si>
    <t>奖励盒名称</t>
  </si>
  <si>
    <t>奖励盒类型</t>
  </si>
  <si>
    <t>奖励选择模式</t>
  </si>
  <si>
    <t>展示方式</t>
  </si>
  <si>
    <t>消耗筹码</t>
  </si>
  <si>
    <t>提示文字模式</t>
  </si>
  <si>
    <t>最大揭晓点击次数</t>
  </si>
  <si>
    <t>自动收起秒数</t>
  </si>
  <si>
    <t>是否需要服务器</t>
  </si>
  <si>
    <t>是否启用</t>
  </si>
  <si>
    <t>标准盲盒</t>
  </si>
  <si>
    <t>装扮盲盒</t>
  </si>
  <si>
    <t>Normal</t>
  </si>
  <si>
    <t>三次升级表演</t>
  </si>
  <si>
    <t>Chips</t>
  </si>
  <si>
    <t>UI\BlindBox\HintIcon_Common.png</t>
  </si>
  <si>
    <t>新手盲盒</t>
  </si>
  <si>
    <t>新手装扮盲盒</t>
  </si>
  <si>
    <t>消耗品盲盒</t>
  </si>
  <si>
    <t>DEMO本地普通盲盒</t>
  </si>
  <si>
    <t>Demo</t>
  </si>
  <si>
    <t>ExcludeDrawnInThisBox</t>
  </si>
  <si>
    <t>DEMO本地好奖励盲盒</t>
  </si>
  <si>
    <t>测试活动盲盒</t>
  </si>
  <si>
    <t>Playtest</t>
  </si>
  <si>
    <t>活动盲盒</t>
  </si>
  <si>
    <t>直接展示奖励</t>
  </si>
  <si>
    <t>Count</t>
  </si>
  <si>
    <t>Old盲盒招待券专用（归档）</t>
  </si>
  <si>
    <t>UI\BlindBox\HintIcon_Common_Ticket.png</t>
  </si>
  <si>
    <t>录屏专用盲盒</t>
  </si>
  <si>
    <t>PlaytestRecording</t>
  </si>
  <si>
    <t>RecordingSequence</t>
  </si>
  <si>
    <t>NextScheduleId</t>
  </si>
  <si>
    <t>ProgressCheckpoint</t>
  </si>
  <si>
    <t xml:space="preserve">BuildChannelMask </t>
  </si>
  <si>
    <t>BlindBoxId</t>
  </si>
  <si>
    <t>FallbackBlindBoxId</t>
  </si>
  <si>
    <t>IsLoopTrack</t>
  </si>
  <si>
    <t>StartSeconds</t>
  </si>
  <si>
    <t>IntervalSeconds</t>
  </si>
  <si>
    <t>MaxGrantCount</t>
  </si>
  <si>
    <t>SteamPlaytimeGeneratorItemDefId</t>
  </si>
  <si>
    <t>SteamDropIntervalSeconds</t>
  </si>
  <si>
    <t>SteamDropWindowSeconds</t>
  </si>
  <si>
    <t>SteamDropMaxPerWindow</t>
  </si>
  <si>
    <t>CostChipsOverride</t>
  </si>
  <si>
    <t>SteamCompletionReceiptItemDefId</t>
  </si>
  <si>
    <t>首轮奖励序列中，当前 Schedule 完成后进入的下一条 BlindBoxSchedule.Id；末条首轮 Schedule 填 0，循环 Schedule 填 0；所有启用的首轮 Schedule 必须组成无环、无分叉的单链，顺序不再根据 StartSeconds 或数字 ID 推断。</t>
  </si>
  <si>
    <t>当前 Schedule 正式完成后写入 Steam Stat 的只增进度值；仅首轮奖励序列填写大于 0，循环 Schedule 填 0；沿 NextScheduleId 必须严格递增，发布后不得修改、降低或复用；建议步骤之间预留较大数值间隔，方便以后插入步骤。</t>
  </si>
  <si>
    <t>对应 BlindBox.Id</t>
  </si>
  <si>
    <t>TRUE 表示正常阶段循环装扮奖励准备行</t>
  </si>
  <si>
    <t>客户端用时间，负责展示气球，以及后台提前准备奖励</t>
  </si>
  <si>
    <t>非循环行为相对上次领取间隔；循环行为 Steam 直接奖励掉落间隔</t>
  </si>
  <si>
    <t>辅助计算列</t>
  </si>
  <si>
    <t>时间倍率；与基础间隔时间</t>
  </si>
  <si>
    <t>最多发放次数；不限填 -1</t>
  </si>
  <si>
    <t>通过 TriggerItemDrop 请求的 Steam PlaytimeGenerator ItemDef ID；该定义直接生成最终装扮；本地消耗品填 0</t>
  </si>
  <si>
    <t>当前 PlaytimeGenerator 被预热激活后，正式获得一件奖励所需的 Steam 有效游玩秒数。</t>
  </si>
  <si>
    <t>Steam 掉落窗口真实秒数；转换器向上取整为分钟；0 表示不启用</t>
  </si>
  <si>
    <t>Steam 掉落窗口内最多发放次数；未启用窗口时填 0</t>
  </si>
  <si>
    <t>&gt;0 本次展示覆盖 BlindBox 默认筹码成本；=0 表示继承，&lt;0 表示免费并显示其绝对值的字符串并添加删除线，注意配置中的倍率</t>
  </si>
  <si>
    <t>玩家正式完成并结算该 Schedule 后，由客户端手动授予的 Steam 永久进度回执 ItemDef ID；0 表示不授予</t>
  </si>
  <si>
    <t>调度ID</t>
  </si>
  <si>
    <t>后置调度 ID</t>
  </si>
  <si>
    <t>序列进度值</t>
  </si>
  <si>
    <t>兜底盲盒id</t>
  </si>
  <si>
    <t>是循环生效的</t>
  </si>
  <si>
    <t>开始秒数</t>
  </si>
  <si>
    <t>间隔秒数</t>
  </si>
  <si>
    <t>分钟</t>
  </si>
  <si>
    <t>累计分钟</t>
  </si>
  <si>
    <t>最多发放次数</t>
  </si>
  <si>
    <t>Steam游玩时间生成器DefID</t>
  </si>
  <si>
    <t>冷却窗口</t>
  </si>
  <si>
    <t>Steam掉落窗口秒数</t>
  </si>
  <si>
    <t>Steam窗口最大发放数</t>
  </si>
  <si>
    <t>本次筹码成本覆盖</t>
  </si>
  <si>
    <t>Steam完成回执DefID</t>
  </si>
  <si>
    <t>Rarity</t>
  </si>
  <si>
    <t>Weight</t>
  </si>
  <si>
    <t>id无实际意义01与稀有读无关</t>
  </si>
  <si>
    <t>先抽品质时命中的品质</t>
  </si>
  <si>
    <t>品质权重，0 或禁用表示不参与</t>
  </si>
  <si>
    <t>权重</t>
  </si>
  <si>
    <t>备注</t>
  </si>
  <si>
    <t>新手盲盒概率会高一点</t>
  </si>
  <si>
    <t>Demo盲盒普</t>
  </si>
  <si>
    <t>Demo盲盒狗</t>
  </si>
  <si>
    <t>测试活动盲盒：特殊1</t>
  </si>
  <si>
    <t>盲盒券</t>
  </si>
  <si>
    <t>录屏用</t>
  </si>
  <si>
    <t>ItemId</t>
  </si>
  <si>
    <t>RecordingRewardOrder</t>
  </si>
  <si>
    <t>稳定且唯一的行ID</t>
  </si>
  <si>
    <t>对应 Item.Id</t>
  </si>
  <si>
    <t>同一盲盒、同一品质内的物品相对权重</t>
  </si>
  <si>
    <t>关闭后不参与奖池，但保留权重</t>
  </si>
  <si>
    <t>仅顺序发奖模式使用。0 不加入队列；正整数按升序发奖，同一盲盒内不可重复；走到末尾后循环。</t>
  </si>
  <si>
    <t>物品ID</t>
  </si>
  <si>
    <t>物品权重</t>
  </si>
  <si>
    <t>特殊盲盒</t>
  </si>
  <si>
    <t>ActualRarity</t>
  </si>
  <si>
    <t>StartRarity</t>
  </si>
  <si>
    <t>MiddleRarity1</t>
  </si>
  <si>
    <t>MiddleRarity2</t>
  </si>
  <si>
    <t>FinalRarity</t>
  </si>
  <si>
    <t>CanEndEarly</t>
  </si>
  <si>
    <t>抽奖结果的真实品质</t>
  </si>
  <si>
    <t>采用这条演出路径的权重</t>
  </si>
  <si>
    <t>盒子初始显示品质</t>
  </si>
  <si>
    <t>点击过程中的中间品质</t>
  </si>
  <si>
    <t>揭晓前最终显示品质</t>
  </si>
  <si>
    <t>达到最高品质后是否提前结束</t>
  </si>
  <si>
    <t>实际品质</t>
  </si>
  <si>
    <t>采用权重</t>
  </si>
  <si>
    <t>初始品质</t>
  </si>
  <si>
    <t>过程品质1</t>
  </si>
  <si>
    <t>最终品质</t>
  </si>
  <si>
    <t>是否提前结束</t>
  </si>
  <si>
    <t>连升2</t>
  </si>
  <si>
    <t>BlindBoxSpritePath</t>
  </si>
  <si>
    <t>BlindBoxShadowPath</t>
  </si>
  <si>
    <t>BlindBoxGlowPath</t>
  </si>
  <si>
    <t>BlindBoxBackgroundColor</t>
  </si>
  <si>
    <t>BlindBoxBackgroundPath</t>
  </si>
  <si>
    <t>UpgradeSfxNamePath</t>
  </si>
  <si>
    <t>UpgradeEffectPath</t>
  </si>
  <si>
    <t>显示名称不会显示在开盲盒环节，但如果游戏中有地方需要显示名字，例如Log，则使用该名字</t>
  </si>
  <si>
    <t>该品质盲盒主体图</t>
  </si>
  <si>
    <t>可选</t>
  </si>
  <si>
    <t>16进制颜色代码</t>
  </si>
  <si>
    <t>开盲盒环节，该品质出现时，播放的音效。
根据约定，音效在游戏后期配置，前期只在控制台打印文字即可。</t>
  </si>
  <si>
    <t>盲盒图片</t>
  </si>
  <si>
    <t>阴影图片</t>
  </si>
  <si>
    <t>盲盒发光图</t>
  </si>
  <si>
    <t>背景颜色</t>
  </si>
  <si>
    <t>盲盒背景图</t>
  </si>
  <si>
    <t>升品音效文件路径</t>
  </si>
  <si>
    <t>升品特效路径</t>
  </si>
  <si>
    <t>UI\BlindBox\BlindBox_Mythic_Closed.png</t>
  </si>
  <si>
    <t>UI\BlindBox\BlindBox_General_Shadow.png</t>
  </si>
  <si>
    <t>e3504a</t>
  </si>
  <si>
    <t>mi</t>
  </si>
  <si>
    <t>UI\BlindBox\BlindBox_Legendary_Closed.png</t>
  </si>
  <si>
    <t>f0b811</t>
  </si>
  <si>
    <t>do</t>
  </si>
  <si>
    <t>UI\BlindBox\BlindBox_Epic_Closed.png</t>
  </si>
  <si>
    <t>b574f0</t>
  </si>
  <si>
    <t>si</t>
  </si>
  <si>
    <t>UI\BlindBox\BlindBox_Rare_Closed.png</t>
  </si>
  <si>
    <t>0f7edc</t>
  </si>
  <si>
    <t>sol</t>
  </si>
  <si>
    <t>UI\BlindBox\BlindBox_Uncommon_Closed.png</t>
  </si>
  <si>
    <t>68c68c</t>
  </si>
  <si>
    <t>UI\BlindBox\BlindBox_Common_Closed.png</t>
  </si>
  <si>
    <t>e4bf8f</t>
  </si>
  <si>
    <t>实际上特殊品质的盲盒没有显示图片的机会</t>
  </si>
  <si>
    <t>DurationHands</t>
  </si>
  <si>
    <t>LuckyDealMode</t>
  </si>
  <si>
    <t>LuckyDealTriggerChance</t>
  </si>
  <si>
    <t>InteractionHintSfxCue</t>
  </si>
  <si>
    <t>UseSfxCue</t>
  </si>
  <si>
    <t>BalloonOffsetY</t>
  </si>
  <si>
    <t>int#ref=TbItem</t>
  </si>
  <si>
    <t>ELuckyDealMode</t>
  </si>
  <si>
    <t>关联 `Item.Id` 的唯一配置。仅允许填写 `ItemType = Refreshment` 的物品；</t>
  </si>
  <si>
    <t>使用成功后获得的 BUFF 持续牌局数。每次成功下注并开始新局时消耗 1 局；建议填写 1-99。</t>
  </si>
  <si>
    <t>决定幸运发牌的具体规则。第一版只支持 `GuidedDraw`；其他枚举为后续预留，暂勿配置。</t>
  </si>
  <si>
    <t>BUFF 生效期间，每局开始时触发幸运发牌的概率。填写 0-1 小数，例如 `0.75` 表示 75%；未触发也会消耗该局。</t>
  </si>
  <si>
    <t>点击桌面 Refreshment 时，播放交互提示动画所用的 AudioManager 逻辑 Cue。填空则静音；不要填写文件扩展名或资源路径。</t>
  </si>
  <si>
    <t>玩家确认使用 Refreshment 并激活 BUFF 时播放的 AudioManager 逻辑 Cue。可按饮品/食物/器具分别配置；填空则静音。</t>
  </si>
  <si>
    <t>在 PSD 导出定位的基础上，对 UseBalloon 和 StatusBalloon 同时追加的 Y 轴像素偏移。正数向下、负数向上；例如热气使气球偏高时填写正数。</t>
  </si>
  <si>
    <t>关联物品 ID</t>
  </si>
  <si>
    <t>持续局数</t>
  </si>
  <si>
    <t>幸运发牌模式</t>
  </si>
  <si>
    <t>Look校验品质</t>
  </si>
  <si>
    <t>幸运触发概率</t>
  </si>
  <si>
    <t>交互提示音效</t>
  </si>
  <si>
    <t>使用音效</t>
  </si>
  <si>
    <t>气球高度微调</t>
  </si>
  <si>
    <t>GuidedDraw</t>
  </si>
  <si>
    <t>Refreshment_Hint</t>
  </si>
  <si>
    <t>Refreshment_BuffStart</t>
  </si>
  <si>
    <t>TabName</t>
  </si>
  <si>
    <t>*TabItemTypeList</t>
  </si>
  <si>
    <t>list,EItemType</t>
  </si>
  <si>
    <t>包含类型</t>
  </si>
  <si>
    <t>在标签栏的顺序</t>
  </si>
  <si>
    <t>Hat</t>
  </si>
  <si>
    <t>Eye</t>
  </si>
  <si>
    <t>Player</t>
  </si>
  <si>
    <t>Theme</t>
  </si>
  <si>
    <t>CanUnequip</t>
  </si>
  <si>
    <t>DefaultItemId</t>
  </si>
  <si>
    <t>可脱光吗</t>
  </si>
  <si>
    <t>默认穿戴物品id</t>
  </si>
  <si>
    <t>Key</t>
  </si>
  <si>
    <t>IsPinned</t>
  </si>
  <si>
    <t>TooltipKey</t>
  </si>
  <si>
    <t>BannerTexturePath</t>
  </si>
  <si>
    <t>BadgeTexturePath</t>
  </si>
  <si>
    <t>PreClaimUrl</t>
  </si>
  <si>
    <t>PostClaimUrl</t>
  </si>
  <si>
    <t>OpenCheckType</t>
  </si>
  <si>
    <t>RewardType</t>
  </si>
  <si>
    <t>RewardItemId</t>
  </si>
  <si>
    <t>RewardChips</t>
  </si>
  <si>
    <t>SequentialPackId</t>
  </si>
  <si>
    <t>RewardBlindBoxId</t>
  </si>
  <si>
    <t>SteamReceiptItemDefId</t>
  </si>
  <si>
    <t>SteamClaimBundleItemDefId</t>
  </si>
  <si>
    <t>ELinkTreeOpenCheckType</t>
  </si>
  <si>
    <t>ELinkTreeRewardType</t>
  </si>
  <si>
    <t>唯一 ID</t>
  </si>
  <si>
    <t>稳定机器名，代码和存档/Steam 记录用，不要随意改名</t>
  </si>
  <si>
    <t>显示顺序，数字越小越靠前</t>
  </si>
  <si>
    <t>该值为TRUE 的条目始终参与 LinkTree 展示，不因奖励已领取而被替换，并优先占用展示位置</t>
  </si>
  <si>
    <t>是否显示这个入口</t>
  </si>
  <si>
    <t>该条数据允许生效的构建渠道，使用位标记，可同时选择多个渠道。只有 IsEnabled=TRUE 且包含当前构建渠道时，客户端才显示并执行该入口；Steam ItemDef 转换器也只在对应渠道校验相关引用。0 表示不在任何渠道生效。</t>
  </si>
  <si>
    <t>Tooltip 本地化 key；当前也可直接作为显示名来源</t>
  </si>
  <si>
    <t>Banner 图片路径；可填 res:// 或项目相对路径</t>
  </si>
  <si>
    <t>角标图片路径；空则使用默认礼物角标</t>
  </si>
  <si>
    <t>领奖前点击打开的外部链接，可带 UTM</t>
  </si>
  <si>
    <t>领奖后点击打开的外部链接，可带 UTM</t>
  </si>
  <si>
    <t>打开校验方式；当前合法值见 ELinkTreeOpenCheckType</t>
  </si>
  <si>
    <t>奖励类型；当前合法值见 ELinkTreeRewardType</t>
  </si>
  <si>
    <t>RewardType=FixedItem 时发放的 Item.Id；不用填 0</t>
  </si>
  <si>
    <t>RewardType=FixedChips 时发放的固定筹码数；不用填 0</t>
  </si>
  <si>
    <t>RewardType=SequentialPack 时关联的顺序礼包 ID；当前不用填 0</t>
  </si>
  <si>
    <t>RewardType=BlindBox 时填写 BlindBox.Id</t>
  </si>
  <si>
    <t>领过奖励的玩家会在Steam服务器上留下凭证，防止再次领奖
Bundle 中永久保留的回执。
Banner 是否已领取只检查这个 ID。</t>
  </si>
  <si>
    <t>客户端调用 AddPromoItem 的目标。
必须指向 Type=Bundle、PromoRule=manual 的定义。</t>
  </si>
  <si>
    <t>入口ID</t>
  </si>
  <si>
    <t>机器名</t>
  </si>
  <si>
    <t>排序</t>
  </si>
  <si>
    <t>固定</t>
  </si>
  <si>
    <t>启用</t>
  </si>
  <si>
    <t>提示文本Key</t>
  </si>
  <si>
    <t>Banner图片</t>
  </si>
  <si>
    <t>角标图片</t>
  </si>
  <si>
    <t>领奖前链接</t>
  </si>
  <si>
    <t>领奖后链接</t>
  </si>
  <si>
    <t>打开校验</t>
  </si>
  <si>
    <t>奖励类型</t>
  </si>
  <si>
    <t>奖励道具ID</t>
  </si>
  <si>
    <t>奖励筹码</t>
  </si>
  <si>
    <t>顺序礼包ID</t>
  </si>
  <si>
    <t>奖励盲盒ID</t>
  </si>
  <si>
    <t>Steam永久领取回执DefID</t>
  </si>
  <si>
    <t>Steam领奖礼包DefID</t>
  </si>
  <si>
    <t>TwitterFollow</t>
  </si>
  <si>
    <t>Twitter</t>
  </si>
  <si>
    <t>UI/LinkTree/Banner_Twitter.png</t>
  </si>
  <si>
    <t>UI/LinkTree/Icon_Gift.svg</t>
  </si>
  <si>
    <t>https://x.com/intent/follow?screen_name=LuckyDogRise</t>
  </si>
  <si>
    <t>https://x.com/LuckyDogRise</t>
  </si>
  <si>
    <t>ShellOpenOk</t>
  </si>
  <si>
    <t>FixedItem</t>
  </si>
  <si>
    <t>墓碑</t>
  </si>
  <si>
    <t>SteamCommunity</t>
  </si>
  <si>
    <t>Steam Community</t>
  </si>
  <si>
    <t>UI/LinkTree/Banner_SteamCommunity.png</t>
  </si>
  <si>
    <t>https://steamcommunity.com/app/2583700</t>
  </si>
  <si>
    <t>FixedChips</t>
  </si>
  <si>
    <t>SteamStore</t>
  </si>
  <si>
    <t>Steam Store</t>
  </si>
  <si>
    <t>UI/LinkTree/Banner_SteamStore.png</t>
  </si>
  <si>
    <t>https://store.steampowered.com/app/2583700?utm_source=linktree&amp;utm_medium=in_game_client&amp;utm_campaign=linktree_pre_claim</t>
  </si>
  <si>
    <t>https://store.steampowered.com/app/2583700?utm_source=linktree&amp;utm_medium=in_game_client&amp;utm_campaign=linktree_post_claim</t>
  </si>
  <si>
    <t>XiaohongshuProfile</t>
  </si>
  <si>
    <t>Xiaohongshu</t>
  </si>
  <si>
    <t>UI/LinkTree/Banner_Xiaohongshu.png</t>
  </si>
  <si>
    <t>https://www.xiaohongshu.com/user/profile/647bc1b5000000001001f13a</t>
  </si>
  <si>
    <t>Test01</t>
  </si>
  <si>
    <t>Test</t>
  </si>
  <si>
    <t>UI/LinkTree/Banner_Test.png</t>
  </si>
  <si>
    <t>Test02</t>
  </si>
  <si>
    <t>Test03</t>
  </si>
  <si>
    <t>Test04</t>
  </si>
  <si>
    <t>steam://openurl/https://steamcommunity.com/app/2583700?utm_source=linktree&amp;utm_medium=in_game_client&amp;utm_campaign=linktree_pre_claim</t>
  </si>
  <si>
    <t>steam://openurl/https://store.steampowered.com/app/2583700?utm_source=linktree&amp;utm_medium=in_game_client&amp;utm_campaign=linktree_pre_claim</t>
  </si>
  <si>
    <t>Type</t>
  </si>
  <si>
    <t>Description</t>
  </si>
  <si>
    <t>PromoRule</t>
  </si>
  <si>
    <t>GrantedManually</t>
  </si>
  <si>
    <t>Tradable</t>
  </si>
  <si>
    <t>Marketable</t>
  </si>
  <si>
    <t>GameOnly</t>
  </si>
  <si>
    <t>StoreHidden</t>
  </si>
  <si>
    <t>AutoStack</t>
  </si>
  <si>
    <t>Bundle</t>
  </si>
  <si>
    <t>SteamUseDropLimit</t>
  </si>
  <si>
    <t>SteamDropLimit</t>
  </si>
  <si>
    <t>Steam Inventory 内唯一的 ItemDef ID；发布后不得改作他用</t>
  </si>
  <si>
    <t>稳定机器名；发布后不要改名</t>
  </si>
  <si>
    <t>Steam 定义类型；当前合法值见 ESteamItemDefType</t>
  </si>
  <si>
    <t>Steam 后台英文名称；game_only 回执不向玩家展示</t>
  </si>
  <si>
    <t>Steam promo 属性；LinkTree 固定填 manual；补偿可填 owns:AppID
只在“Steam 应该通过促销资格直接发放这个 ItemDef”时填写，其余时候留空</t>
  </si>
  <si>
    <t>TRUE 时只能由 AddPromoItem/AddPromoItems 指定领取</t>
  </si>
  <si>
    <t>是否允许 Steam 交易</t>
  </si>
  <si>
    <t>是否允许 Steam 社区市场出售</t>
  </si>
  <si>
    <t>TRUE 时不显示在 Steam 背包；回执和内部令牌填 TRUE</t>
  </si>
  <si>
    <t>TRUE 时不在 Steam 物品商店展示</t>
  </si>
  <si>
    <t>是否将同定义物品自动堆叠；一次性回执填 FALSE</t>
  </si>
  <si>
    <t>Bundle/Generator 的内容配方。
留空表示不输出 bundle；
填写 @AUTO 表示由转换器根据业务表生成；
也可直接填写 Steam 配方，例如 101002x1;101003x1。</t>
  </si>
  <si>
    <t>是否参与导出到 Steam ItemDef 配置</t>
  </si>
  <si>
    <t>仅用于未被启用 Schedule 引用的 PlaytimeGenerator；TRUE 时显式输出 Steam use_drop_limit</t>
  </si>
  <si>
    <t>Steam 永久投放上限；退役 PlaytimeGenerator 填 0</t>
  </si>
  <si>
    <t>Steam物品定义ID</t>
  </si>
  <si>
    <t>策划备注</t>
  </si>
  <si>
    <t>Steam定义类型</t>
  </si>
  <si>
    <t>英文名称</t>
  </si>
  <si>
    <t>促销规则</t>
  </si>
  <si>
    <t>仅显式领取</t>
  </si>
  <si>
    <t>可上市场</t>
  </si>
  <si>
    <t>仅游戏内</t>
  </si>
  <si>
    <t>商店隐藏</t>
  </si>
  <si>
    <t>内容配方</t>
  </si>
  <si>
    <t>Steam启用投放上限</t>
  </si>
  <si>
    <t>Steam投放上限</t>
  </si>
  <si>
    <t>LinkTreeTwitterFollowClaim</t>
  </si>
  <si>
    <t>推特领奖</t>
  </si>
  <si>
    <t>LinkTree Claim - Twitter Follow</t>
  </si>
  <si>
    <t>Permanent receipt for the Twitter follow reward.</t>
  </si>
  <si>
    <t>manual</t>
  </si>
  <si>
    <t>LinkTreeSteamCommunityClaim</t>
  </si>
  <si>
    <t>社区领奖</t>
  </si>
  <si>
    <t>LinkTree Claim - Steam Community</t>
  </si>
  <si>
    <t>Permanent receipt for the Steam Community reward.</t>
  </si>
  <si>
    <t>LinkTreeSteamStoreClaim</t>
  </si>
  <si>
    <t>商店页面领奖</t>
  </si>
  <si>
    <t>LinkTree Claim - Steam Store</t>
  </si>
  <si>
    <t>Permanent receipt for the Steam Store reward.</t>
  </si>
  <si>
    <t>LinkTreeXiaohongshuProfileClaim</t>
  </si>
  <si>
    <t>小红书领奖</t>
  </si>
  <si>
    <t>LinkTree Claim - Xiaohongshu Profile</t>
  </si>
  <si>
    <t>Permanent receipt for the Xiaohongshu profile reward.</t>
  </si>
  <si>
    <t>LinkTreeTwitterFollowClaimV2</t>
  </si>
  <si>
    <t>推特领奖回执凭证</t>
  </si>
  <si>
    <t>LinkTreeSteamCommunityClaimV2</t>
  </si>
  <si>
    <t>社区领奖回执凭证</t>
  </si>
  <si>
    <t>LinkTreeSteamStoreClaimV2</t>
  </si>
  <si>
    <t>商店页面领奖回执凭证</t>
  </si>
  <si>
    <t>LinkTreeXiaohongshuProfileClaimV2</t>
  </si>
  <si>
    <t>小红书领奖回执凭证</t>
  </si>
  <si>
    <t>LinkTreeTest01</t>
  </si>
  <si>
    <t>测试01</t>
  </si>
  <si>
    <t>LinkTree Test 01</t>
  </si>
  <si>
    <t>TestDecs01</t>
  </si>
  <si>
    <t>LinkTreeTest02</t>
  </si>
  <si>
    <t>测试02</t>
  </si>
  <si>
    <t>LinkTree Test 02</t>
  </si>
  <si>
    <t>TestDecs02</t>
  </si>
  <si>
    <t>LinkTreeTest03</t>
  </si>
  <si>
    <t>测试03</t>
  </si>
  <si>
    <t>LinkTree Test 03</t>
  </si>
  <si>
    <t>TestDecs03</t>
  </si>
  <si>
    <t>LinkTreeTest04</t>
  </si>
  <si>
    <t>测试04</t>
  </si>
  <si>
    <t>LinkTree Test 04</t>
  </si>
  <si>
    <t>TestDecs04</t>
  </si>
  <si>
    <t>LinkTreeTest01Bundle</t>
  </si>
  <si>
    <t>小红书领奖礼包</t>
  </si>
  <si>
    <t>LinkTree Test01 Bundle</t>
  </si>
  <si>
    <t>TestDecs01 Bundle</t>
  </si>
  <si>
    <t>410001x1;151001x1</t>
  </si>
  <si>
    <t>LinkTreeTest02Bundle</t>
  </si>
  <si>
    <t>LinkTree Test02 Bundle</t>
  </si>
  <si>
    <t>TestDecs02 Bundle</t>
  </si>
  <si>
    <t>410002x1;151001x1</t>
  </si>
  <si>
    <t>LinkTreeTest03Bundle</t>
  </si>
  <si>
    <t>LinkTree Test03 Bundle</t>
  </si>
  <si>
    <t>TestDecs03 Bundle</t>
  </si>
  <si>
    <t>410003x1;151001x1</t>
  </si>
  <si>
    <t>LinkTreeTest04Bundle</t>
  </si>
  <si>
    <t>LinkTree Test04 Bundle</t>
  </si>
  <si>
    <t>TestDecs04 Bundle</t>
  </si>
  <si>
    <t>410004x1;151001x1</t>
  </si>
  <si>
    <t>402表示开盒成本</t>
  </si>
  <si>
    <t>DecorationBlindBoxVoucher</t>
  </si>
  <si>
    <t>盲盒招待券</t>
  </si>
  <si>
    <t>Decoration Blind Box Voucher</t>
  </si>
  <si>
    <t>Opens one decoration blind box.</t>
  </si>
  <si>
    <t>StandardBlindBoxContainer</t>
  </si>
  <si>
    <t>标准盲盒券</t>
  </si>
  <si>
    <t>Standard Blind Box</t>
  </si>
  <si>
    <t>A consumable Steam inventory item used to open one standard blind box.</t>
  </si>
  <si>
    <t>NewbieBlindBoxContainer</t>
  </si>
  <si>
    <t>新手盲盒券</t>
  </si>
  <si>
    <t>Newbie Blind Box</t>
  </si>
  <si>
    <t>A consumable Steam inventory item used to open one newbie blind box.</t>
  </si>
  <si>
    <t>403盲盒物品生成器</t>
  </si>
  <si>
    <t>DecorationBlindBoxV1Generator</t>
  </si>
  <si>
    <t>盲盒物品生成器V1</t>
  </si>
  <si>
    <t>Generator</t>
  </si>
  <si>
    <t>Decoration Blind Box V1 Generator</t>
  </si>
  <si>
    <t>Generates one decoration reward.</t>
  </si>
  <si>
    <t>101002x1;101003x1</t>
  </si>
  <si>
    <t>StandardBlindBoxV1Generator</t>
  </si>
  <si>
    <t>标准盲盒物品生成器V1</t>
  </si>
  <si>
    <t>Standard Blind Box V1 Generator</t>
  </si>
  <si>
    <t>Generates one standard blind box reward.</t>
  </si>
  <si>
    <t>@AUTO</t>
  </si>
  <si>
    <t>NewbieBlindBoxV1Generator</t>
  </si>
  <si>
    <t>新手盲盒物品生成器V1</t>
  </si>
  <si>
    <t>Newbie Blind Box V1 Generator</t>
  </si>
  <si>
    <t>Generates one newbie blind box reward.</t>
  </si>
  <si>
    <t>404 表示游玩时间用的生成器</t>
  </si>
  <si>
    <t>Schedule1001PlaytimeDrop</t>
  </si>
  <si>
    <t>调度1001游玩时间掉落</t>
  </si>
  <si>
    <t>Schedule 1001 Playtime Drop</t>
  </si>
  <si>
    <t>Grants the blind box item configured by schedule 1001.</t>
  </si>
  <si>
    <t>402001x1</t>
  </si>
  <si>
    <t>Schedule1002PlaytimeDrop</t>
  </si>
  <si>
    <t>调度1002游玩时间掉落</t>
  </si>
  <si>
    <t>Schedule 1002 Playtime Drop</t>
  </si>
  <si>
    <t>Grants the blind box item configured by schedule 1002.</t>
  </si>
  <si>
    <t>402003x1</t>
  </si>
  <si>
    <t>Schedule1004PlaytimeDrop</t>
  </si>
  <si>
    <t>调度1004游玩时间掉落</t>
  </si>
  <si>
    <t>Schedule 1004 Playtime Drop</t>
  </si>
  <si>
    <t>Grants the blind box item configured by schedule 1004.</t>
  </si>
  <si>
    <t>402002x1</t>
  </si>
  <si>
    <t>Schedule1005PlaytimeDrop</t>
  </si>
  <si>
    <t>调度1005游玩时间掉落</t>
  </si>
  <si>
    <t>Schedule 1005 Playtime Drop</t>
  </si>
  <si>
    <t>Grants the blind box item configured by schedule 1005.</t>
  </si>
  <si>
    <t>Schedule1007PlaytimeDrop</t>
  </si>
  <si>
    <t>调度1007游玩时间掉落</t>
  </si>
  <si>
    <t>Schedule 1007 Playtime Drop</t>
  </si>
  <si>
    <t>Grants the blind box item configured by schedule 1007.</t>
  </si>
  <si>
    <t>Schedule1008PlaytimeDrop</t>
  </si>
  <si>
    <t>调度1008游玩时间掉落</t>
  </si>
  <si>
    <t>Schedule 1008 Playtime Drop</t>
  </si>
  <si>
    <t>Grants the blind box item configured by schedule 1008.</t>
  </si>
  <si>
    <t>Schedule1010PlaytimeDrop</t>
  </si>
  <si>
    <t>调度1010游玩时间掉落</t>
  </si>
  <si>
    <t>Schedule 1010 Playtime Drop</t>
  </si>
  <si>
    <t>Grants the blind box item configured by schedule 1010.</t>
  </si>
  <si>
    <t>Schedule1011PlaytimeDrop</t>
  </si>
  <si>
    <t>调度1011游玩时间掉落</t>
  </si>
  <si>
    <t>Schedule 1011 Playtime Drop</t>
  </si>
  <si>
    <t>Grants the blind box item configured by schedule 1011.</t>
  </si>
  <si>
    <t>Schedule1013PlaytimeDrop</t>
  </si>
  <si>
    <t>调度1013循环游玩时间掉落</t>
  </si>
  <si>
    <t>Schedule 1013 Playtime Drop</t>
  </si>
  <si>
    <t>Grants the recurring standard blind box item configured by schedule 1013.</t>
  </si>
  <si>
    <t>405 表示掉落窗口用的生成器</t>
  </si>
  <si>
    <t>RecurringDecorationBlindBoxDropV2</t>
  </si>
  <si>
    <t>新版循环装扮盲盒券投放</t>
  </si>
  <si>
    <t>Recurring Decoration Blind Box Drop V2</t>
  </si>
  <si>
    <t>Grants recurring standard blind box vouchers under the Steam playtime drop window.</t>
  </si>
  <si>
    <t>406 表示礼包</t>
  </si>
  <si>
    <t>LinkTreeTwitterFollowRewardBundleV2</t>
  </si>
  <si>
    <t>推特领奖礼包</t>
  </si>
  <si>
    <t>LinkTree Reward Bundle - Twitter Follow</t>
  </si>
  <si>
    <t>Grants the permanent receipt and fixed item reward for the Twitter follow entry.</t>
  </si>
  <si>
    <t>401005x1;192005x1</t>
  </si>
  <si>
    <t>LinkTreeSteamCommunityRewardBundleV2</t>
  </si>
  <si>
    <t>Steam社区领奖礼包</t>
  </si>
  <si>
    <t>LinkTree Reward Bundle - Steam Community</t>
  </si>
  <si>
    <t>Grants the permanent receipt for the Steam Community entry. The chip reward is granted locally.</t>
  </si>
  <si>
    <t>401006x1</t>
  </si>
  <si>
    <t>LinkTreeSteamStoreRewardBundleV2</t>
  </si>
  <si>
    <t>Steam商店领奖礼包</t>
  </si>
  <si>
    <t>LinkTree Reward Bundle - Steam Store</t>
  </si>
  <si>
    <t>Grants the permanent receipt for the Steam Store entry. The chip reward is granted locally.</t>
  </si>
  <si>
    <t>401007x1</t>
  </si>
  <si>
    <t>LinkTreeXiaohongshuProfileRewardBundleV2</t>
  </si>
  <si>
    <t>LinkTree Reward Bundle - Xiaohongshu Profile</t>
  </si>
  <si>
    <t>Grants the permanent receipt and fixed item reward for the Xiaohongshu profile entry.</t>
  </si>
  <si>
    <t>401008x1;191012x1</t>
  </si>
  <si>
    <t>Old盲盒开箱成本</t>
  </si>
  <si>
    <t>StandardBlindBoxContainerOfficial</t>
  </si>
  <si>
    <t>NewbieBlindBoxContainerOfficial</t>
  </si>
  <si>
    <t>DecorationBlindBoxVoucherOfficial</t>
  </si>
  <si>
    <t>正式盲盒物品生成器</t>
  </si>
  <si>
    <t>StandardBlindBoxV1GeneratorOfficial</t>
  </si>
  <si>
    <t>NewbieBlindBoxV1GeneratorOfficial</t>
  </si>
  <si>
    <t>正式新手阶段回执</t>
  </si>
  <si>
    <t>NewbieBlindBoxCheckpoint05ReceiptOfficial</t>
  </si>
  <si>
    <t>完成前5个新手盲盒的永久回执</t>
  </si>
  <si>
    <t>Newbie Blind Box Checkpoint 5 Receipt</t>
  </si>
  <si>
    <t>Permanent receipt confirming completion of the first five newbie blind boxes.</t>
  </si>
  <si>
    <t>NewbieBlindBoxSequenceCompletedReceiptOfficial</t>
  </si>
  <si>
    <t>完成全部12个新手盲盒的永久回执</t>
  </si>
  <si>
    <t>Newbie Blind Box Sequence Completed Receipt</t>
  </si>
  <si>
    <t>Permanent receipt confirming completion of the full newbie blind box sequence.</t>
  </si>
  <si>
    <t>正式 LinkTree 永久回执</t>
  </si>
  <si>
    <t>LinkTreeTwitterFollowClaimOfficial</t>
  </si>
  <si>
    <t>推特领奖回执</t>
  </si>
  <si>
    <t>LinkTreeSteamCommunityClaimOfficial</t>
  </si>
  <si>
    <t>Steam社区领奖回执</t>
  </si>
  <si>
    <t>LinkTreeSteamStoreClaimOfficial</t>
  </si>
  <si>
    <t>Steam商店领奖回执</t>
  </si>
  <si>
    <t>LinkTreeXiaohongshuProfileClaimOfficial</t>
  </si>
  <si>
    <t>小红书领奖回执</t>
  </si>
  <si>
    <t>LinkTreeTwitterFollowClaimPlaytest1</t>
  </si>
  <si>
    <t>LinkTreeXiaohongshuProfileClaimPlaytest1</t>
  </si>
  <si>
    <t>LinkTreeXiaohongshuProfileClaimPlaytest2</t>
  </si>
  <si>
    <t>正式 LinkTree 领取 Bundle</t>
  </si>
  <si>
    <t>LinkTreeTwitterFollowRewardBundle</t>
  </si>
  <si>
    <t>501001x1;192005x1</t>
  </si>
  <si>
    <t>LinkTreeSteamCommunityRewardBundle</t>
  </si>
  <si>
    <t>501002x1</t>
  </si>
  <si>
    <t>LinkTreeSteamStoreRewardBundle</t>
  </si>
  <si>
    <t>501003x1</t>
  </si>
  <si>
    <t>LinkTreeXiaohongshuProfileRewardBundle</t>
  </si>
  <si>
    <t>501004x1;191012x1</t>
  </si>
  <si>
    <t>LinkTreeTwitterFollowRewardBundle_Playtest</t>
  </si>
  <si>
    <t>501005x1;152001x1</t>
  </si>
  <si>
    <t>LinkTreeXiaohongshuProfileRewardBundle_Playtest</t>
  </si>
  <si>
    <t>501006x1;153001x1</t>
  </si>
  <si>
    <t>LinkTreeXiaohongshuProfileRewardBundle_Playtest2</t>
  </si>
  <si>
    <t>501007x1;151001x1</t>
  </si>
  <si>
    <t>Old新手一次性游玩投放</t>
  </si>
  <si>
    <t>NewbieSchedule1001PlaytimeDrop</t>
  </si>
  <si>
    <t>新手调度1001游玩投放</t>
  </si>
  <si>
    <t>Newbie Schedule 1001 Playtime Drop</t>
  </si>
  <si>
    <t>Grants the blind box item configured by newbie schedule 1001.</t>
  </si>
  <si>
    <t>204001x1</t>
  </si>
  <si>
    <t>NewbieSchedule1002PlaytimeDrop</t>
  </si>
  <si>
    <t>新手调度1002游玩投放</t>
  </si>
  <si>
    <t>Newbie Schedule 1002 Playtime Drop</t>
  </si>
  <si>
    <t>Grants the blind box item configured by newbie schedule 1002.</t>
  </si>
  <si>
    <t>201002x1</t>
  </si>
  <si>
    <t>NewbieSchedule1004PlaytimeDrop</t>
  </si>
  <si>
    <t>新手调度1004游玩投放</t>
  </si>
  <si>
    <t>Newbie Schedule 1004 Playtime Drop</t>
  </si>
  <si>
    <t>Grants the blind box item configured by newbie schedule 1004.</t>
  </si>
  <si>
    <t>201001x1</t>
  </si>
  <si>
    <t>NewbieSchedule1005PlaytimeDrop</t>
  </si>
  <si>
    <t>新手调度1005游玩投放</t>
  </si>
  <si>
    <t>Newbie Schedule 1005 Playtime Drop</t>
  </si>
  <si>
    <t>Grants the blind box item configured by newbie schedule 1005.</t>
  </si>
  <si>
    <t>NewbieSchedule1007PlaytimeDrop</t>
  </si>
  <si>
    <t>新手调度1007游玩投放</t>
  </si>
  <si>
    <t>Newbie Schedule 1007 Playtime Drop</t>
  </si>
  <si>
    <t>Grants the blind box item configured by newbie schedule 1007.</t>
  </si>
  <si>
    <t>NewbieSchedule1008PlaytimeDrop</t>
  </si>
  <si>
    <t>新手调度1008游玩投放</t>
  </si>
  <si>
    <t>Newbie Schedule 1008 Playtime Drop</t>
  </si>
  <si>
    <t>Grants the blind box item configured by newbie schedule 1008.</t>
  </si>
  <si>
    <t>NewbieSchedule1010PlaytimeDrop</t>
  </si>
  <si>
    <t>新手调度1010游玩投放</t>
  </si>
  <si>
    <t>Newbie Schedule 1010 Playtime Drop</t>
  </si>
  <si>
    <t>Grants the blind box item configured by newbie schedule 1010.</t>
  </si>
  <si>
    <t>NewbieSchedule1011PlaytimeDrop</t>
  </si>
  <si>
    <t>新手调度1011游玩投放</t>
  </si>
  <si>
    <t>Newbie Schedule 1011 Playtime Drop</t>
  </si>
  <si>
    <t>Grants the blind box item configured by newbie schedule 1011.</t>
  </si>
  <si>
    <t>正式新手一次性游玩投放</t>
  </si>
  <si>
    <t>NewbieSchedule1001DirectReward</t>
  </si>
  <si>
    <t>新手调度1001直接奖励投放</t>
  </si>
  <si>
    <t>Newbie Schedule 1001 Direct Reward</t>
  </si>
  <si>
    <t>Generates one standard decoration reward for newbie schedule 1001.</t>
  </si>
  <si>
    <t>301001x1</t>
  </si>
  <si>
    <t>NewbieSchedule1002DirectReward</t>
  </si>
  <si>
    <t>新手调度1002直接奖励投放</t>
  </si>
  <si>
    <t>Newbie Schedule 1002 Direct Reward</t>
  </si>
  <si>
    <t>Generates one newbie decoration reward for newbie schedule 1002.</t>
  </si>
  <si>
    <t>301002x1</t>
  </si>
  <si>
    <t>NewbieSchedule1004DirectReward</t>
  </si>
  <si>
    <t>新手调度1004直接奖励投放</t>
  </si>
  <si>
    <t>Newbie Schedule 1004 Direct Reward</t>
  </si>
  <si>
    <t>Generates one standard decoration reward for newbie schedule 1004.</t>
  </si>
  <si>
    <t>NewbieSchedule1005DirectReward</t>
  </si>
  <si>
    <t>新手调度1005直接奖励投放</t>
  </si>
  <si>
    <t>Newbie Schedule 1005 Direct Reward</t>
  </si>
  <si>
    <t>Generates one newbie decoration reward for newbie schedule 1005.</t>
  </si>
  <si>
    <t>NewbieSchedule1007DirectReward</t>
  </si>
  <si>
    <t>新手调度1007直接奖励投放</t>
  </si>
  <si>
    <t>Newbie Schedule 1007 Direct Reward</t>
  </si>
  <si>
    <t>Generates one standard decoration reward for newbie schedule 1007.</t>
  </si>
  <si>
    <t>NewbieSchedule1008DirectReward</t>
  </si>
  <si>
    <t>新手调度1008直接奖励投放</t>
  </si>
  <si>
    <t>Newbie Schedule 1008 Direct Reward</t>
  </si>
  <si>
    <t>Generates one newbie decoration reward for newbie schedule 1008.</t>
  </si>
  <si>
    <t>NewbieSchedule1010DirectReward</t>
  </si>
  <si>
    <t>新手调度1010直接奖励投放</t>
  </si>
  <si>
    <t>Newbie Schedule 1010 Direct Reward</t>
  </si>
  <si>
    <t>Generates one standard decoration reward for newbie schedule 1010.</t>
  </si>
  <si>
    <t>NewbieSchedule1011DirectReward</t>
  </si>
  <si>
    <t>新手调度1011直接奖励投放</t>
  </si>
  <si>
    <t>Newbie Schedule 1011 Direct Reward</t>
  </si>
  <si>
    <t>Generates one newbie decoration reward for newbie schedule 1011.</t>
  </si>
  <si>
    <t>Old长期循环游玩投放</t>
  </si>
  <si>
    <t>RecurringDecorationBlindBoxDrop</t>
  </si>
  <si>
    <t>循环装扮盲盒券投放</t>
  </si>
  <si>
    <t>Recurring Decoration Blind Box Drop</t>
  </si>
  <si>
    <t>正式长期循环游玩投放</t>
  </si>
  <si>
    <t>RecurringDecorationDirectReward</t>
  </si>
  <si>
    <t>循环装扮直接奖励投放</t>
  </si>
  <si>
    <t>Recurring Decoration Direct Reward</t>
  </si>
  <si>
    <t>Generates one recurring standard decoration reward under the Steam playtime drop window.</t>
  </si>
  <si>
    <t>StartItemDefId</t>
  </si>
  <si>
    <t>EndItemDefId</t>
  </si>
  <si>
    <t>Purpose</t>
  </si>
  <si>
    <t>Example</t>
  </si>
  <si>
    <t>起始 ItemDef ID</t>
  </si>
  <si>
    <t>截止 ItemDef ID</t>
  </si>
  <si>
    <t>分段说明</t>
  </si>
  <si>
    <t>正式 Item 使用 SteamItemDefId = 100000 + Item.Id；Item.Id 必须为 1-99999，并由转换器校验。Playtest 专用 Item 使用测试段，不受此公式约束。</t>
  </si>
  <si>
    <t>101xxx 狗皮肤、102xxx 头饰、103xxx 眼镜</t>
  </si>
  <si>
    <t>可消耗库存物品总段；具体用途继续使用子段划分。</t>
  </si>
  <si>
    <t>通常保存在玩家 Steam 库存中、等待被消耗的可堆叠物品</t>
  </si>
  <si>
    <t>熔炼材料</t>
  </si>
  <si>
    <t>盲盒开箱成本与 BlindBox 一一对应：SteamOpenCostItemDefId = 200000 + BlindBox.Id。采用该映射的 BlindBox.Id 必须为 1-29999，并由转换器校验。</t>
  </si>
  <si>
    <t>盲盒券和其它盲盒开箱成本</t>
  </si>
  <si>
    <t>BlindBox 1001 的开箱成本 ItemDef 为 201001</t>
  </si>
  <si>
    <t>历史盲盒券与开箱成本冻结段。</t>
  </si>
  <si>
    <t>兼容旧ID</t>
  </si>
  <si>
    <t>201001、201002、204001 只保留兼容，不再分配新定义或改变身份。</t>
  </si>
  <si>
    <t>可消耗库存物品的后续功能预留段。</t>
  </si>
  <si>
    <t>可堆叠材料</t>
  </si>
  <si>
    <t>210xxx 可用于熔炼助燃剂等材料</t>
  </si>
  <si>
    <t>Generator 与交换产物定义总段；同一个权重随机池可以被多种途径使用，不要求与 BlindBox 一一对应。</t>
  </si>
  <si>
    <t>权重随机物品生成器和交换目标</t>
  </si>
  <si>
    <t>301xxx 盲盒 Generator、302xxx 熔炼 Generator</t>
  </si>
  <si>
    <t>随机奖励 Generator 总段；同一个权重随机池可以被多种途径使用，不要求与 BlindBox 一一对应。</t>
  </si>
  <si>
    <t>为多种发奖流程提供随机奖励池</t>
  </si>
  <si>
    <t>盲盒随机奖池 Generator 子段。</t>
  </si>
  <si>
    <t>盲盒 ExchangeItems 的交换目标</t>
  </si>
  <si>
    <t>标准盲盒、新手盲盒等 Generator</t>
  </si>
  <si>
    <t>盲盒奖励池 Generator。可以被 PlaytimeGenerator 直接引用，也兼容历史 Exchange。</t>
  </si>
  <si>
    <t>盲盒装扮奖励池</t>
  </si>
  <si>
    <t>熔炼随机奖池 Generator 子段。</t>
  </si>
  <si>
    <t>未来物品回收或熔炼功能的交换目标</t>
  </si>
  <si>
    <t>同品质物品熔炼为更高品质物品</t>
  </si>
  <si>
    <t>Generator 后续功能预留段。</t>
  </si>
  <si>
    <t>尚未分配的 Generator 和交换目标</t>
  </si>
  <si>
    <t>未来随机池功能</t>
  </si>
  <si>
    <t>Playtest 专用总段，仅输出到 Playtest，不得进入 Release schema。转换器必须同时检查 SteamItemDef 和 Item.SteamItemDefId。</t>
  </si>
  <si>
    <t>需要真实 Steam 环境验证的测试定义</t>
  </si>
  <si>
    <t>历史测试与后续新功能测试</t>
  </si>
  <si>
    <t>Playtest 历史测试区，永久冻结。已发布定义继续保留，但不再分配新定义或改变原有身份。</t>
  </si>
  <si>
    <t>保存已经上传到 Playtest 的历史测试定义</t>
  </si>
  <si>
    <t>现有盲盒、LinkTree 与 PlaytimeGenerator 测试定义</t>
  </si>
  <si>
    <t>后续 Playtest 测试区。每个新功能按需谨慎分配一小段，不要求跨表对齐子 ID。</t>
  </si>
  <si>
    <t>新增功能的 Steam 实机测试</t>
  </si>
  <si>
    <t>每个新功能通常分配数十个 ItemDef</t>
  </si>
  <si>
    <t>永久回执总段。回执保留在玩家库存中，不参与消耗。</t>
  </si>
  <si>
    <t>避免重复领奖，并证明玩家参加过特定入口或活动</t>
  </si>
  <si>
    <t>501xxx LinkTree、502xxx 补偿中心</t>
  </si>
  <si>
    <t>新手状态永久回执字段</t>
  </si>
  <si>
    <t>记录一些可获得奖励的新手状态，避免玩家重复走领奖流程</t>
  </si>
  <si>
    <t>500001，新手盲盒阶段开始，500012，新手盲盒阶段走完</t>
  </si>
  <si>
    <t>LinkTree 永久回执子段。</t>
  </si>
  <si>
    <t>记录每个 LinkTree Banner 是否已经领取</t>
  </si>
  <si>
    <t>一个启用领奖的 Banner 对应一个独立回执</t>
  </si>
  <si>
    <t>补偿中心永久回执子段。</t>
  </si>
  <si>
    <t>记录每次补偿活动是否已经领取</t>
  </si>
  <si>
    <t>一个补偿活动对应一个独立回执</t>
  </si>
  <si>
    <t>永久回执后续功能预留段。</t>
  </si>
  <si>
    <t>尚未分配的永久资格与活动记录</t>
  </si>
  <si>
    <t>未来活动或其它一次性领取功能</t>
  </si>
  <si>
    <t>Promo/Claim Bundle 总段。当前 LinkTree 和补偿领取 Bundle 通常与永久回执一一对应，但关联关系始终由表字段和 Bundle 配方决定，不依赖数字相同。</t>
  </si>
  <si>
    <t>发放固定奖励，或发放包含永久回执的一揽子奖励</t>
  </si>
  <si>
    <t>601xxx LinkTree、602xxx 补偿、603xxx 新手礼包</t>
  </si>
  <si>
    <t>LinkTree 领取 Bundle 子段。</t>
  </si>
  <si>
    <t>发放 LinkTree 永久回执及其固定奖励</t>
  </si>
  <si>
    <t>永久回执加固定物品，或仅永久回执</t>
  </si>
  <si>
    <t>补偿中心领取 Bundle 子段。</t>
  </si>
  <si>
    <t>发放补偿回执及补偿内容</t>
  </si>
  <si>
    <t>补偿回执加固定物品或材料</t>
  </si>
  <si>
    <t>新手礼包 Bundle 子段。</t>
  </si>
  <si>
    <t>发放新玩家的一次性固定礼包</t>
  </si>
  <si>
    <t>新玩家一次性固定物品礼包</t>
  </si>
  <si>
    <t>Promo/Claim Bundle 后续功能预留段。</t>
  </si>
  <si>
    <t>尚未分配的固定礼包和促销 Bundle</t>
  </si>
  <si>
    <t>未来活动礼包</t>
  </si>
  <si>
    <t>PlaytimeGenerator 总段。</t>
  </si>
  <si>
    <t>根据 Steam 记录的游玩时间投放库存物品</t>
  </si>
  <si>
    <t>固定系统投放与限时活动投放</t>
  </si>
  <si>
    <t>固定系统投放总段。</t>
  </si>
  <si>
    <t>长期随客户端维护的系统级 PlaytimeGenerator</t>
  </si>
  <si>
    <t>新手一次性投放、长期循环投放</t>
  </si>
  <si>
    <t>新手一次性投放子段。</t>
  </si>
  <si>
    <t>前期按游玩时间发放的新手盲盒券</t>
  </si>
  <si>
    <t>新手盲盒队列中的 Steam 投放</t>
  </si>
  <si>
    <t>新手一次性 PlaytimeGenerator 总段，同时包含历史券版与新版直接奖励。</t>
  </si>
  <si>
    <t>管理前 12 个新手 Schedule 的一次性 Steam 投放定义</t>
  </si>
  <si>
    <t>7000xx 历史券版、7001xx 新版直接奖励</t>
  </si>
  <si>
    <t>历史新手券 PlaytimeGenerator 子段，永久冻结。</t>
  </si>
  <si>
    <t>保存旧版新手券投放定义</t>
  </si>
  <si>
    <t>700001、700002、700004 等历史定义</t>
  </si>
  <si>
    <t>新版新手直接奖励 PlaytimeGenerator 子段</t>
  </si>
  <si>
    <t>新手阶段的 PlaytimeGenerator</t>
  </si>
  <si>
    <t>前12个奖励当中的装扮奖励</t>
  </si>
  <si>
    <t>长期循环投放子段。</t>
  </si>
  <si>
    <t>游戏正常阶段持续运行的循环投放</t>
  </si>
  <si>
    <t>长期循环装扮盲盒券，受掉落窗口控制</t>
  </si>
  <si>
    <t>长期循环 PlaytimeGenerator 总段</t>
  </si>
  <si>
    <t>管理游戏正常阶段持续运行的循环投放定义</t>
  </si>
  <si>
    <t>7010xx 历史券版、7011xx 新版直接奖励</t>
  </si>
  <si>
    <t>历史循环券 PlaytimeGenerator 子段，永久冻结。</t>
  </si>
  <si>
    <t>保存旧版循环券投放定义</t>
  </si>
  <si>
    <t>701001 历史循环券投放</t>
  </si>
  <si>
    <t>新版循环直接奖励 PlaytimeGenerator 子段</t>
  </si>
  <si>
    <t>长期循环直接生成装扮，受掉落窗口控制</t>
  </si>
  <si>
    <t>固定系统投放预留段。</t>
  </si>
  <si>
    <t>尚未分配的长期系统投放</t>
  </si>
  <si>
    <t>未来固定 PlaytimeGenerator</t>
  </si>
  <si>
    <t>限时活动投放段，按顺序分配，不把活动日期编码进 ID。</t>
  </si>
  <si>
    <t>活动期间按游玩时间发放奖励</t>
  </si>
  <si>
    <t>节日活动、版本庆典活动</t>
  </si>
  <si>
    <t>未来功能预留段，分配新用途前需要先更新本规划。</t>
  </si>
  <si>
    <t>尚未确定的 Steam Inventory 功能</t>
  </si>
  <si>
    <t>低位保留段，暂不使用。</t>
  </si>
  <si>
    <t>为未来无法预见的兼容需求保留</t>
  </si>
  <si>
    <t>不分配正式或测试定义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</si>
</sst>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name val="微软雅黑"/>
      <charset val="134"/>
    </font>
    <font>
      <sz val="12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083F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FE4B7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4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ont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Font="1" applyFill="1" applyAlignment="1">
      <alignment vertical="center"/>
    </xf>
    <xf numFmtId="10" fontId="0" fillId="0" borderId="0" xfId="3" applyNumberFormat="1">
      <alignment vertical="center"/>
    </xf>
    <xf numFmtId="0" fontId="0" fillId="0" borderId="0" xfId="3" applyNumberFormat="1">
      <alignment vertical="center"/>
    </xf>
    <xf numFmtId="10" fontId="0" fillId="0" borderId="0" xfId="3" applyNumberFormat="1" applyAlignment="1">
      <alignment vertical="center" wrapText="1"/>
    </xf>
    <xf numFmtId="0" fontId="0" fillId="0" borderId="0" xfId="3" applyNumberFormat="1" applyAlignment="1">
      <alignment vertical="center" wrapText="1"/>
    </xf>
    <xf numFmtId="0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5" borderId="0" xfId="0" applyFill="1">
      <alignment vertical="center"/>
    </xf>
    <xf numFmtId="0" fontId="3" fillId="6" borderId="0" xfId="0" applyFont="1" applyFill="1">
      <alignment vertical="center"/>
    </xf>
    <xf numFmtId="0" fontId="0" fillId="6" borderId="0" xfId="0" applyFill="1">
      <alignment vertical="center"/>
    </xf>
    <xf numFmtId="0" fontId="0" fillId="6" borderId="0" xfId="0" applyFill="1" applyAlignment="1">
      <alignment vertical="center"/>
    </xf>
    <xf numFmtId="0" fontId="3" fillId="6" borderId="0" xfId="0" applyFont="1" applyFill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7" borderId="0" xfId="0" applyFill="1">
      <alignment vertical="center"/>
    </xf>
    <xf numFmtId="0" fontId="0" fillId="3" borderId="0" xfId="0" applyFill="1">
      <alignment vertical="center"/>
    </xf>
    <xf numFmtId="0" fontId="0" fillId="8" borderId="0" xfId="0" applyFill="1" applyAlignment="1">
      <alignment vertical="center" wrapText="1"/>
    </xf>
    <xf numFmtId="0" fontId="2" fillId="7" borderId="0" xfId="0" applyFont="1" applyFill="1">
      <alignment vertical="center"/>
    </xf>
    <xf numFmtId="0" fontId="2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4">
    <dxf>
      <fill>
        <patternFill patternType="solid">
          <bgColor theme="6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7" tint="0.4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 tint="-0.5"/>
        </patternFill>
      </fill>
    </dxf>
    <dxf>
      <fill>
        <patternFill patternType="solid">
          <bgColor rgb="FFFF51C8"/>
        </patternFill>
      </fill>
    </dxf>
    <dxf>
      <fill>
        <patternFill patternType="solid">
          <bgColor theme="3" tint="0.6"/>
        </patternFill>
      </fill>
    </dxf>
    <dxf>
      <fill>
        <patternFill patternType="solid">
          <bgColor theme="8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2" tint="-0.25"/>
        </patternFill>
      </fill>
    </dxf>
    <dxf>
      <fill>
        <patternFill patternType="solid">
          <bgColor theme="6" tint="0.6"/>
        </patternFill>
      </fill>
    </dxf>
    <dxf>
      <fill>
        <patternFill patternType="solid">
          <bgColor theme="1" tint="0.5"/>
        </patternFill>
      </fill>
    </dxf>
    <dxf>
      <fill>
        <patternFill patternType="solid">
          <bgColor theme="1" tint="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PivotStylePreset2_Accent1" table="0" count="10" xr9:uid="{267968C8-6FFD-4C36-ACC1-9EA1FD1885CA}">
      <tableStyleElement type="headerRow" dxfId="33"/>
      <tableStyleElement type="totalRow" dxfId="32"/>
      <tableStyleElement type="firstRowStripe" dxfId="31"/>
      <tableStyleElement type="firstColumnStripe" dxfId="30"/>
      <tableStyleElement type="firstSubtotalRow" dxfId="29"/>
      <tableStyleElement type="secondSubtotalRow" dxfId="28"/>
      <tableStyleElement type="firstRowSubheading" dxfId="27"/>
      <tableStyleElement type="secondRowSubheading" dxfId="26"/>
      <tableStyleElement type="pageFieldLabels" dxfId="25"/>
      <tableStyleElement type="pageFieldValues" dxfId="24"/>
    </tableStyle>
  </tableStyles>
  <colors>
    <mruColors>
      <color rgb="00EFE4B7"/>
      <color rgb="00F083F3"/>
      <color rgb="00FF51C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53"/>
  <sheetViews>
    <sheetView topLeftCell="A55" workbookViewId="0">
      <selection activeCell="B76" sqref="B76"/>
    </sheetView>
  </sheetViews>
  <sheetFormatPr defaultColWidth="8.66666666666667" defaultRowHeight="17.4"/>
  <cols>
    <col min="3" max="3" width="27.5" customWidth="1"/>
    <col min="4" max="4" width="20.0833333333333" customWidth="1"/>
    <col min="5" max="5" width="14.6666666666667" customWidth="1"/>
    <col min="6" max="6" width="19.8333333333333" customWidth="1"/>
    <col min="7" max="7" width="4.58333333333333" customWidth="1"/>
    <col min="8" max="8" width="10" customWidth="1"/>
    <col min="11" max="12" width="14.3333333333333" customWidth="1"/>
    <col min="13" max="13" width="14.75" customWidth="1"/>
    <col min="14" max="14" width="5.08333333333333" style="30" customWidth="1"/>
    <col min="15" max="15" width="44" customWidth="1"/>
    <col min="16" max="16" width="48.5833333333333" customWidth="1"/>
    <col min="17" max="17" width="15.4166666666667" customWidth="1"/>
    <col min="18" max="18" width="7" style="30" customWidth="1"/>
    <col min="19" max="19" width="15.1666666666667" customWidth="1"/>
    <col min="20" max="20" width="18.0833333333333" customWidth="1"/>
    <col min="21" max="21" width="21.4166666666667" customWidth="1"/>
    <col min="22" max="22" width="15.0833333333333" customWidth="1"/>
    <col min="23" max="23" width="13.5" customWidth="1"/>
    <col min="24" max="24" width="15.8333333333333" customWidth="1"/>
    <col min="25" max="25" width="14.8333333333333" customWidth="1"/>
    <col min="26" max="26" width="12.25" customWidth="1"/>
    <col min="27" max="27" width="16.4166666666667" customWidth="1"/>
    <col min="28" max="28" width="10" customWidth="1"/>
    <col min="29" max="29" width="12.25" customWidth="1"/>
    <col min="30" max="30" width="17.0833333333333" customWidth="1"/>
    <col min="31" max="31" width="10.3333333333333" customWidth="1"/>
  </cols>
  <sheetData>
    <row r="1" spans="1:30">
      <c r="A1" s="3" t="s">
        <v>0</v>
      </c>
      <c r="B1" s="3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  <c r="P1" t="s">
        <v>14</v>
      </c>
      <c r="Q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>
      <c r="A2" s="3" t="s">
        <v>28</v>
      </c>
      <c r="B2" s="3" t="s">
        <v>29</v>
      </c>
      <c r="C2" s="3" t="s">
        <v>30</v>
      </c>
      <c r="D2" s="3" t="s">
        <v>30</v>
      </c>
      <c r="E2" t="s">
        <v>31</v>
      </c>
      <c r="F2" t="s">
        <v>32</v>
      </c>
      <c r="G2" t="s">
        <v>33</v>
      </c>
      <c r="H2" t="s">
        <v>29</v>
      </c>
      <c r="I2" t="s">
        <v>34</v>
      </c>
      <c r="J2" t="s">
        <v>29</v>
      </c>
      <c r="K2" t="s">
        <v>35</v>
      </c>
      <c r="L2" t="s">
        <v>36</v>
      </c>
      <c r="M2" t="s">
        <v>29</v>
      </c>
      <c r="O2" t="s">
        <v>37</v>
      </c>
      <c r="P2" t="s">
        <v>30</v>
      </c>
      <c r="Q2" t="s">
        <v>29</v>
      </c>
      <c r="S2" t="s">
        <v>29</v>
      </c>
      <c r="T2" t="s">
        <v>38</v>
      </c>
      <c r="U2" t="s">
        <v>30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30</v>
      </c>
      <c r="AB2" t="s">
        <v>30</v>
      </c>
      <c r="AC2" t="s">
        <v>30</v>
      </c>
      <c r="AD2" t="s">
        <v>30</v>
      </c>
    </row>
    <row r="3" s="2" customFormat="1" ht="190" customHeight="1" spans="1:30">
      <c r="A3" s="4" t="s">
        <v>39</v>
      </c>
      <c r="B3" s="4"/>
      <c r="C3" s="4"/>
      <c r="D3" s="4" t="s">
        <v>40</v>
      </c>
      <c r="G3" s="2" t="s">
        <v>41</v>
      </c>
      <c r="H3" s="2" t="s">
        <v>42</v>
      </c>
      <c r="J3" s="2" t="s">
        <v>43</v>
      </c>
      <c r="L3" s="31"/>
      <c r="M3" s="2" t="s">
        <v>44</v>
      </c>
      <c r="N3" s="14"/>
      <c r="O3" s="2" t="s">
        <v>45</v>
      </c>
      <c r="P3" s="2" t="s">
        <v>46</v>
      </c>
      <c r="R3" s="14"/>
      <c r="S3" s="2" t="s">
        <v>47</v>
      </c>
      <c r="T3" s="2" t="s">
        <v>48</v>
      </c>
      <c r="U3" s="2" t="s">
        <v>49</v>
      </c>
      <c r="V3" s="2" t="s">
        <v>50</v>
      </c>
      <c r="W3" s="2" t="s">
        <v>51</v>
      </c>
      <c r="X3" s="2" t="s">
        <v>51</v>
      </c>
      <c r="Y3" s="2" t="s">
        <v>52</v>
      </c>
      <c r="Z3" s="2" t="s">
        <v>53</v>
      </c>
      <c r="AA3" s="2" t="s">
        <v>54</v>
      </c>
      <c r="AB3" s="2" t="s">
        <v>55</v>
      </c>
      <c r="AC3" s="2" t="s">
        <v>54</v>
      </c>
      <c r="AD3" s="2" t="s">
        <v>54</v>
      </c>
    </row>
    <row r="4" spans="1:30">
      <c r="A4" s="3" t="s">
        <v>39</v>
      </c>
      <c r="B4" s="3" t="s">
        <v>56</v>
      </c>
      <c r="C4" s="3" t="s">
        <v>57</v>
      </c>
      <c r="D4" s="3" t="s">
        <v>58</v>
      </c>
      <c r="E4" t="s">
        <v>59</v>
      </c>
      <c r="F4" t="s">
        <v>60</v>
      </c>
      <c r="G4" t="s">
        <v>41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O4" t="s">
        <v>67</v>
      </c>
      <c r="P4" t="s">
        <v>68</v>
      </c>
      <c r="Q4" t="s">
        <v>69</v>
      </c>
      <c r="S4" t="s">
        <v>70</v>
      </c>
      <c r="T4" t="s">
        <v>71</v>
      </c>
      <c r="U4" t="s">
        <v>72</v>
      </c>
      <c r="V4" t="s">
        <v>73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</row>
    <row r="5" s="29" customFormat="1" spans="1:30">
      <c r="B5" s="29">
        <v>1001</v>
      </c>
      <c r="C5" s="29" t="s">
        <v>82</v>
      </c>
      <c r="D5" s="29" t="s">
        <v>83</v>
      </c>
      <c r="E5" s="29" t="s">
        <v>84</v>
      </c>
      <c r="F5" s="29" t="s">
        <v>85</v>
      </c>
      <c r="I5" s="29" t="s">
        <v>86</v>
      </c>
      <c r="J5" s="29">
        <v>200</v>
      </c>
      <c r="K5" s="29" t="b">
        <v>0</v>
      </c>
      <c r="L5" s="29" t="s">
        <v>87</v>
      </c>
      <c r="M5" s="29">
        <v>0</v>
      </c>
      <c r="O5" s="3" t="s">
        <v>88</v>
      </c>
      <c r="P5" s="3" t="s">
        <v>89</v>
      </c>
      <c r="Q5" s="29">
        <v>1001</v>
      </c>
      <c r="R5" s="29"/>
      <c r="T5" s="29" t="s">
        <v>90</v>
      </c>
      <c r="V5" s="29" t="b">
        <v>1</v>
      </c>
      <c r="W5" s="29" t="b">
        <v>0</v>
      </c>
      <c r="X5" s="29" t="b">
        <v>0</v>
      </c>
      <c r="Y5" s="29" t="b">
        <v>0</v>
      </c>
      <c r="Z5" s="29" t="b">
        <v>0</v>
      </c>
    </row>
    <row r="6" spans="1:30">
      <c r="B6">
        <v>1002</v>
      </c>
      <c r="C6" t="s">
        <v>91</v>
      </c>
      <c r="D6" t="s">
        <v>92</v>
      </c>
      <c r="E6" t="s">
        <v>84</v>
      </c>
      <c r="F6" t="s">
        <v>93</v>
      </c>
      <c r="I6" t="s">
        <v>94</v>
      </c>
      <c r="J6">
        <v>200</v>
      </c>
      <c r="K6" t="b">
        <v>0</v>
      </c>
      <c r="L6" t="s">
        <v>95</v>
      </c>
      <c r="M6">
        <v>0</v>
      </c>
      <c r="O6" s="3" t="s">
        <v>96</v>
      </c>
      <c r="P6" s="3" t="s">
        <v>97</v>
      </c>
      <c r="Q6">
        <v>1002</v>
      </c>
      <c r="S6">
        <v>101002</v>
      </c>
      <c r="T6" t="s">
        <v>90</v>
      </c>
      <c r="V6" t="b">
        <v>1</v>
      </c>
      <c r="W6" t="b">
        <v>0</v>
      </c>
      <c r="X6" t="b">
        <v>0</v>
      </c>
      <c r="Y6" t="b">
        <v>0</v>
      </c>
      <c r="Z6" t="b">
        <v>0</v>
      </c>
    </row>
    <row r="7" spans="1:30">
      <c r="B7">
        <v>1003</v>
      </c>
      <c r="C7" t="s">
        <v>98</v>
      </c>
      <c r="D7" t="s">
        <v>99</v>
      </c>
      <c r="E7" t="s">
        <v>84</v>
      </c>
      <c r="F7" t="s">
        <v>93</v>
      </c>
      <c r="I7" t="s">
        <v>100</v>
      </c>
      <c r="J7">
        <v>200</v>
      </c>
      <c r="K7" t="b">
        <v>0</v>
      </c>
      <c r="L7" t="s">
        <v>95</v>
      </c>
      <c r="M7">
        <v>0</v>
      </c>
      <c r="O7" s="3" t="s">
        <v>101</v>
      </c>
      <c r="P7" s="3" t="s">
        <v>102</v>
      </c>
      <c r="Q7">
        <v>1003</v>
      </c>
      <c r="S7">
        <v>101003</v>
      </c>
      <c r="T7" t="s">
        <v>90</v>
      </c>
      <c r="V7" t="b">
        <v>1</v>
      </c>
      <c r="W7" t="b">
        <v>0</v>
      </c>
      <c r="X7" t="b">
        <v>0</v>
      </c>
      <c r="Y7" t="b">
        <v>0</v>
      </c>
      <c r="Z7" t="b">
        <v>0</v>
      </c>
    </row>
    <row r="8" spans="1:30">
      <c r="B8">
        <v>1004</v>
      </c>
      <c r="C8" t="s">
        <v>103</v>
      </c>
      <c r="D8" t="s">
        <v>104</v>
      </c>
      <c r="E8" t="s">
        <v>84</v>
      </c>
      <c r="F8" t="s">
        <v>93</v>
      </c>
      <c r="I8" t="s">
        <v>100</v>
      </c>
      <c r="J8">
        <v>200</v>
      </c>
      <c r="K8" t="b">
        <v>0</v>
      </c>
      <c r="L8" t="s">
        <v>95</v>
      </c>
      <c r="M8">
        <v>0</v>
      </c>
      <c r="O8" s="3" t="s">
        <v>105</v>
      </c>
      <c r="P8" s="3" t="s">
        <v>106</v>
      </c>
      <c r="Q8">
        <v>1004</v>
      </c>
      <c r="S8">
        <v>101004</v>
      </c>
      <c r="T8" t="s">
        <v>90</v>
      </c>
      <c r="V8" t="b">
        <v>1</v>
      </c>
      <c r="W8" t="b">
        <v>0</v>
      </c>
      <c r="X8" t="b">
        <v>0</v>
      </c>
      <c r="Y8" t="b">
        <v>0</v>
      </c>
      <c r="Z8" t="b">
        <v>0</v>
      </c>
    </row>
    <row r="9" spans="1:30">
      <c r="B9">
        <v>1005</v>
      </c>
      <c r="C9" t="s">
        <v>107</v>
      </c>
      <c r="D9" t="s">
        <v>108</v>
      </c>
      <c r="E9" t="s">
        <v>84</v>
      </c>
      <c r="F9" t="s">
        <v>93</v>
      </c>
      <c r="I9" t="s">
        <v>109</v>
      </c>
      <c r="J9">
        <v>100</v>
      </c>
      <c r="K9" t="b">
        <v>0</v>
      </c>
      <c r="L9" t="s">
        <v>95</v>
      </c>
      <c r="M9">
        <v>0</v>
      </c>
      <c r="O9" s="3" t="s">
        <v>88</v>
      </c>
      <c r="P9" s="3" t="s">
        <v>110</v>
      </c>
      <c r="Q9">
        <v>1005</v>
      </c>
      <c r="S9">
        <v>101005</v>
      </c>
      <c r="T9" t="s">
        <v>90</v>
      </c>
      <c r="V9" t="b">
        <v>1</v>
      </c>
      <c r="W9" t="b">
        <v>0</v>
      </c>
      <c r="X9" t="b">
        <v>0</v>
      </c>
      <c r="Y9" t="b">
        <v>0</v>
      </c>
      <c r="Z9" t="b">
        <v>0</v>
      </c>
    </row>
    <row r="10" spans="1:30">
      <c r="B10">
        <v>1006</v>
      </c>
      <c r="C10" t="s">
        <v>111</v>
      </c>
      <c r="D10" t="s">
        <v>112</v>
      </c>
      <c r="E10" t="s">
        <v>84</v>
      </c>
      <c r="F10" t="s">
        <v>93</v>
      </c>
      <c r="I10" t="s">
        <v>113</v>
      </c>
      <c r="J10">
        <v>100</v>
      </c>
      <c r="K10" t="b">
        <v>0</v>
      </c>
      <c r="L10" t="s">
        <v>95</v>
      </c>
      <c r="M10">
        <v>0</v>
      </c>
      <c r="O10" s="3" t="s">
        <v>88</v>
      </c>
      <c r="P10" s="3" t="s">
        <v>114</v>
      </c>
      <c r="Q10">
        <v>1006</v>
      </c>
      <c r="S10">
        <v>101006</v>
      </c>
      <c r="T10" t="s">
        <v>90</v>
      </c>
      <c r="V10" t="b">
        <v>1</v>
      </c>
      <c r="W10" t="b">
        <v>0</v>
      </c>
      <c r="X10" t="b">
        <v>0</v>
      </c>
      <c r="Y10" t="b">
        <v>0</v>
      </c>
      <c r="Z10" t="b">
        <v>0</v>
      </c>
    </row>
    <row r="11" spans="1:30">
      <c r="B11">
        <v>1007</v>
      </c>
      <c r="C11" t="s">
        <v>115</v>
      </c>
      <c r="D11" t="s">
        <v>116</v>
      </c>
      <c r="E11" t="s">
        <v>84</v>
      </c>
      <c r="F11" t="s">
        <v>93</v>
      </c>
      <c r="I11" t="s">
        <v>109</v>
      </c>
      <c r="J11">
        <v>100</v>
      </c>
      <c r="K11" t="b">
        <v>0</v>
      </c>
      <c r="L11" t="s">
        <v>95</v>
      </c>
      <c r="M11">
        <v>0</v>
      </c>
      <c r="O11" s="3" t="s">
        <v>96</v>
      </c>
      <c r="P11" s="3" t="s">
        <v>117</v>
      </c>
      <c r="Q11">
        <v>1007</v>
      </c>
      <c r="S11">
        <v>101007</v>
      </c>
      <c r="T11" t="s">
        <v>90</v>
      </c>
      <c r="V11" t="b">
        <v>1</v>
      </c>
      <c r="W11" t="b">
        <v>0</v>
      </c>
      <c r="X11" t="b">
        <v>0</v>
      </c>
      <c r="Y11" t="b">
        <v>0</v>
      </c>
      <c r="Z11" t="b">
        <v>0</v>
      </c>
    </row>
    <row r="12" spans="1:30">
      <c r="B12">
        <v>1008</v>
      </c>
      <c r="C12" t="s">
        <v>118</v>
      </c>
      <c r="D12" t="s">
        <v>119</v>
      </c>
      <c r="E12" t="s">
        <v>84</v>
      </c>
      <c r="F12" t="s">
        <v>85</v>
      </c>
      <c r="I12" t="s">
        <v>113</v>
      </c>
      <c r="J12">
        <v>100</v>
      </c>
      <c r="K12" t="b">
        <v>0</v>
      </c>
      <c r="L12" t="s">
        <v>95</v>
      </c>
      <c r="M12">
        <v>0</v>
      </c>
      <c r="O12" s="3" t="s">
        <v>101</v>
      </c>
      <c r="P12" s="3" t="s">
        <v>120</v>
      </c>
      <c r="Q12">
        <v>1008</v>
      </c>
      <c r="S12">
        <v>101008</v>
      </c>
      <c r="T12" t="s">
        <v>90</v>
      </c>
      <c r="V12" t="b">
        <v>1</v>
      </c>
      <c r="W12" t="b">
        <v>0</v>
      </c>
      <c r="X12" t="b">
        <v>0</v>
      </c>
      <c r="Y12" t="b">
        <v>0</v>
      </c>
      <c r="Z12" t="b">
        <v>0</v>
      </c>
    </row>
    <row r="13" spans="1:30">
      <c r="B13">
        <v>1009</v>
      </c>
      <c r="C13" t="s">
        <v>121</v>
      </c>
      <c r="D13" t="s">
        <v>122</v>
      </c>
      <c r="E13" t="s">
        <v>84</v>
      </c>
      <c r="F13" t="s">
        <v>93</v>
      </c>
      <c r="I13" t="s">
        <v>113</v>
      </c>
      <c r="J13">
        <v>100</v>
      </c>
      <c r="K13" t="b">
        <v>0</v>
      </c>
      <c r="L13" t="s">
        <v>95</v>
      </c>
      <c r="M13">
        <v>0</v>
      </c>
      <c r="O13" s="3" t="s">
        <v>96</v>
      </c>
      <c r="P13" s="3" t="s">
        <v>123</v>
      </c>
      <c r="Q13">
        <v>1009</v>
      </c>
      <c r="S13">
        <v>101009</v>
      </c>
      <c r="T13" t="s">
        <v>90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</row>
    <row r="14" spans="1:30">
      <c r="B14">
        <v>1010</v>
      </c>
      <c r="C14" t="s">
        <v>124</v>
      </c>
      <c r="D14" t="s">
        <v>125</v>
      </c>
      <c r="E14" t="s">
        <v>84</v>
      </c>
      <c r="F14" t="s">
        <v>93</v>
      </c>
      <c r="I14" t="s">
        <v>113</v>
      </c>
      <c r="J14">
        <v>100</v>
      </c>
      <c r="K14" t="b">
        <v>0</v>
      </c>
      <c r="L14" t="s">
        <v>95</v>
      </c>
      <c r="M14">
        <v>0</v>
      </c>
      <c r="O14" s="3" t="s">
        <v>101</v>
      </c>
      <c r="P14" s="3" t="s">
        <v>126</v>
      </c>
      <c r="Q14">
        <v>1010</v>
      </c>
      <c r="S14">
        <v>101010</v>
      </c>
      <c r="T14" t="s">
        <v>90</v>
      </c>
      <c r="V14" t="b">
        <v>1</v>
      </c>
      <c r="W14" t="b">
        <v>0</v>
      </c>
      <c r="X14" t="b">
        <v>0</v>
      </c>
      <c r="Y14" t="b">
        <v>0</v>
      </c>
      <c r="Z14" t="b">
        <v>0</v>
      </c>
    </row>
    <row r="15" spans="1:30">
      <c r="B15">
        <v>1011</v>
      </c>
      <c r="C15" t="s">
        <v>127</v>
      </c>
      <c r="D15" t="s">
        <v>128</v>
      </c>
      <c r="E15" t="s">
        <v>84</v>
      </c>
      <c r="F15" t="s">
        <v>85</v>
      </c>
      <c r="I15" t="s">
        <v>129</v>
      </c>
      <c r="J15">
        <v>100</v>
      </c>
      <c r="K15" t="b">
        <v>0</v>
      </c>
      <c r="L15" t="s">
        <v>95</v>
      </c>
      <c r="M15">
        <v>0</v>
      </c>
      <c r="O15" s="3" t="s">
        <v>105</v>
      </c>
      <c r="P15" s="3" t="s">
        <v>130</v>
      </c>
      <c r="Q15">
        <v>1011</v>
      </c>
      <c r="S15">
        <v>101011</v>
      </c>
      <c r="T15" t="s">
        <v>90</v>
      </c>
      <c r="V15" t="b">
        <v>1</v>
      </c>
      <c r="W15" t="b">
        <v>0</v>
      </c>
      <c r="X15" t="b">
        <v>0</v>
      </c>
      <c r="Y15" t="b">
        <v>0</v>
      </c>
      <c r="Z15" t="b">
        <v>0</v>
      </c>
    </row>
    <row r="16" spans="1:30">
      <c r="B16">
        <v>1012</v>
      </c>
      <c r="C16" t="s">
        <v>131</v>
      </c>
      <c r="D16" t="s">
        <v>132</v>
      </c>
      <c r="E16" t="s">
        <v>84</v>
      </c>
      <c r="F16" t="s">
        <v>93</v>
      </c>
      <c r="I16" t="s">
        <v>109</v>
      </c>
      <c r="J16">
        <v>100</v>
      </c>
      <c r="K16" t="b">
        <v>0</v>
      </c>
      <c r="L16" t="s">
        <v>95</v>
      </c>
      <c r="M16">
        <v>0</v>
      </c>
      <c r="O16" s="3" t="s">
        <v>88</v>
      </c>
      <c r="P16" s="3" t="s">
        <v>133</v>
      </c>
      <c r="Q16">
        <v>1012</v>
      </c>
      <c r="S16">
        <v>101012</v>
      </c>
      <c r="T16" t="s">
        <v>90</v>
      </c>
      <c r="V16" t="b">
        <v>1</v>
      </c>
      <c r="W16" t="b">
        <v>0</v>
      </c>
      <c r="X16" t="b">
        <v>0</v>
      </c>
      <c r="Y16" t="b">
        <v>0</v>
      </c>
      <c r="Z16" t="b">
        <v>0</v>
      </c>
    </row>
    <row r="17" spans="2:26">
      <c r="B17">
        <v>1013</v>
      </c>
      <c r="C17" t="s">
        <v>134</v>
      </c>
      <c r="D17" t="s">
        <v>135</v>
      </c>
      <c r="E17" t="s">
        <v>84</v>
      </c>
      <c r="F17" t="s">
        <v>85</v>
      </c>
      <c r="I17" s="29" t="s">
        <v>109</v>
      </c>
      <c r="J17">
        <v>100</v>
      </c>
      <c r="K17" t="b">
        <v>0</v>
      </c>
      <c r="L17" t="s">
        <v>95</v>
      </c>
      <c r="M17">
        <v>0</v>
      </c>
      <c r="O17" t="s">
        <v>88</v>
      </c>
      <c r="P17" t="s">
        <v>136</v>
      </c>
      <c r="Q17">
        <v>1013</v>
      </c>
      <c r="S17">
        <v>101013</v>
      </c>
      <c r="T17" t="s">
        <v>90</v>
      </c>
      <c r="V17" t="b">
        <v>1</v>
      </c>
      <c r="W17" t="b">
        <v>0</v>
      </c>
      <c r="X17" t="b">
        <v>0</v>
      </c>
      <c r="Y17" t="b">
        <v>0</v>
      </c>
      <c r="Z17" t="b">
        <v>0</v>
      </c>
    </row>
    <row r="18" spans="2:26">
      <c r="B18">
        <v>1014</v>
      </c>
      <c r="C18" t="s">
        <v>137</v>
      </c>
      <c r="D18" t="s">
        <v>138</v>
      </c>
      <c r="E18" t="s">
        <v>84</v>
      </c>
      <c r="F18" t="s">
        <v>93</v>
      </c>
      <c r="I18" s="29" t="s">
        <v>109</v>
      </c>
      <c r="J18">
        <v>100</v>
      </c>
      <c r="K18" t="b">
        <v>0</v>
      </c>
      <c r="L18" t="s">
        <v>95</v>
      </c>
      <c r="M18">
        <v>0</v>
      </c>
      <c r="O18" t="s">
        <v>96</v>
      </c>
      <c r="P18" t="s">
        <v>139</v>
      </c>
      <c r="Q18">
        <v>1014</v>
      </c>
      <c r="S18">
        <v>101014</v>
      </c>
      <c r="T18" t="s">
        <v>90</v>
      </c>
      <c r="V18" t="b">
        <v>1</v>
      </c>
      <c r="W18" t="b">
        <v>0</v>
      </c>
      <c r="X18" t="b">
        <v>0</v>
      </c>
      <c r="Y18" t="b">
        <v>0</v>
      </c>
      <c r="Z18" t="b">
        <v>0</v>
      </c>
    </row>
    <row r="19" spans="2:26">
      <c r="B19">
        <v>1015</v>
      </c>
      <c r="C19" t="s">
        <v>140</v>
      </c>
      <c r="D19" t="s">
        <v>141</v>
      </c>
      <c r="E19" t="s">
        <v>84</v>
      </c>
      <c r="F19" t="s">
        <v>93</v>
      </c>
      <c r="I19" s="29" t="s">
        <v>94</v>
      </c>
      <c r="J19">
        <v>100</v>
      </c>
      <c r="K19" t="b">
        <v>0</v>
      </c>
      <c r="L19" t="s">
        <v>95</v>
      </c>
      <c r="M19">
        <v>0</v>
      </c>
      <c r="O19" t="s">
        <v>101</v>
      </c>
      <c r="P19" t="s">
        <v>142</v>
      </c>
      <c r="Q19">
        <v>1015</v>
      </c>
      <c r="S19">
        <v>101015</v>
      </c>
      <c r="T19" t="s">
        <v>90</v>
      </c>
      <c r="V19" t="b">
        <v>1</v>
      </c>
      <c r="W19" t="b">
        <v>0</v>
      </c>
      <c r="X19" t="b">
        <v>0</v>
      </c>
      <c r="Y19" t="b">
        <v>0</v>
      </c>
      <c r="Z19" t="b">
        <v>0</v>
      </c>
    </row>
    <row r="20" spans="2:26">
      <c r="B20">
        <v>1016</v>
      </c>
      <c r="C20" t="s">
        <v>143</v>
      </c>
      <c r="D20" t="s">
        <v>144</v>
      </c>
      <c r="E20" t="s">
        <v>84</v>
      </c>
      <c r="F20" t="s">
        <v>93</v>
      </c>
      <c r="I20" s="29" t="s">
        <v>113</v>
      </c>
      <c r="J20">
        <v>100</v>
      </c>
      <c r="K20" t="b">
        <v>0</v>
      </c>
      <c r="L20" t="s">
        <v>95</v>
      </c>
      <c r="M20">
        <v>0</v>
      </c>
      <c r="O20" t="s">
        <v>105</v>
      </c>
      <c r="P20" t="s">
        <v>145</v>
      </c>
      <c r="Q20">
        <v>1016</v>
      </c>
      <c r="S20">
        <v>101016</v>
      </c>
      <c r="T20" t="s">
        <v>90</v>
      </c>
      <c r="V20" t="b">
        <v>1</v>
      </c>
      <c r="W20" t="b">
        <v>0</v>
      </c>
      <c r="X20" t="b">
        <v>0</v>
      </c>
      <c r="Y20" t="b">
        <v>0</v>
      </c>
      <c r="Z20" t="b">
        <v>0</v>
      </c>
    </row>
    <row r="21" spans="2:26">
      <c r="B21">
        <v>1017</v>
      </c>
      <c r="C21" t="s">
        <v>146</v>
      </c>
      <c r="D21" t="s">
        <v>147</v>
      </c>
      <c r="E21" t="s">
        <v>84</v>
      </c>
      <c r="F21" t="s">
        <v>93</v>
      </c>
      <c r="I21" s="29" t="s">
        <v>113</v>
      </c>
      <c r="J21">
        <v>100</v>
      </c>
      <c r="K21" t="b">
        <v>0</v>
      </c>
      <c r="L21" t="s">
        <v>95</v>
      </c>
      <c r="M21">
        <v>0</v>
      </c>
      <c r="O21" t="s">
        <v>88</v>
      </c>
      <c r="P21" t="s">
        <v>148</v>
      </c>
      <c r="Q21">
        <v>1017</v>
      </c>
      <c r="S21">
        <v>101017</v>
      </c>
      <c r="T21" t="s">
        <v>90</v>
      </c>
      <c r="V21" t="b">
        <v>1</v>
      </c>
      <c r="W21" t="b">
        <v>0</v>
      </c>
      <c r="X21" t="b">
        <v>0</v>
      </c>
      <c r="Y21" t="b">
        <v>0</v>
      </c>
      <c r="Z21" t="b">
        <v>0</v>
      </c>
    </row>
    <row r="22" spans="2:26">
      <c r="B22">
        <v>1018</v>
      </c>
      <c r="C22" t="s">
        <v>149</v>
      </c>
      <c r="D22" t="s">
        <v>150</v>
      </c>
      <c r="E22" t="s">
        <v>84</v>
      </c>
      <c r="F22" t="s">
        <v>93</v>
      </c>
      <c r="I22" s="29" t="s">
        <v>113</v>
      </c>
      <c r="J22">
        <v>100</v>
      </c>
      <c r="K22" t="b">
        <v>0</v>
      </c>
      <c r="L22" t="s">
        <v>95</v>
      </c>
      <c r="M22">
        <v>0</v>
      </c>
      <c r="O22" t="s">
        <v>96</v>
      </c>
      <c r="P22" t="s">
        <v>151</v>
      </c>
      <c r="Q22">
        <v>1018</v>
      </c>
      <c r="S22">
        <v>101018</v>
      </c>
      <c r="T22" t="s">
        <v>90</v>
      </c>
      <c r="V22" t="b">
        <v>1</v>
      </c>
      <c r="W22" t="b">
        <v>0</v>
      </c>
      <c r="X22" t="b">
        <v>0</v>
      </c>
      <c r="Y22" t="b">
        <v>0</v>
      </c>
      <c r="Z22" t="b">
        <v>0</v>
      </c>
    </row>
    <row r="23" spans="2:26">
      <c r="B23">
        <v>1019</v>
      </c>
      <c r="C23" t="s">
        <v>152</v>
      </c>
      <c r="D23" t="s">
        <v>153</v>
      </c>
      <c r="E23" t="s">
        <v>84</v>
      </c>
      <c r="F23" t="s">
        <v>93</v>
      </c>
      <c r="I23" s="29" t="s">
        <v>113</v>
      </c>
      <c r="J23">
        <v>100</v>
      </c>
      <c r="K23" t="b">
        <v>0</v>
      </c>
      <c r="L23" t="s">
        <v>95</v>
      </c>
      <c r="M23">
        <v>0</v>
      </c>
      <c r="O23" t="s">
        <v>101</v>
      </c>
      <c r="P23" t="s">
        <v>154</v>
      </c>
      <c r="Q23">
        <v>1019</v>
      </c>
      <c r="S23">
        <v>101019</v>
      </c>
      <c r="T23" t="s">
        <v>90</v>
      </c>
      <c r="V23" t="b">
        <v>1</v>
      </c>
      <c r="W23" t="b">
        <v>0</v>
      </c>
      <c r="X23" t="b">
        <v>0</v>
      </c>
      <c r="Y23" t="b">
        <v>0</v>
      </c>
      <c r="Z23" t="b">
        <v>0</v>
      </c>
    </row>
    <row r="24" spans="2:26">
      <c r="B24">
        <v>1020</v>
      </c>
      <c r="C24" t="s">
        <v>155</v>
      </c>
      <c r="D24" t="s">
        <v>156</v>
      </c>
      <c r="E24" t="s">
        <v>84</v>
      </c>
      <c r="F24" t="s">
        <v>93</v>
      </c>
      <c r="I24" s="29" t="s">
        <v>129</v>
      </c>
      <c r="J24">
        <v>100</v>
      </c>
      <c r="K24" t="b">
        <v>0</v>
      </c>
      <c r="L24" t="s">
        <v>95</v>
      </c>
      <c r="M24">
        <v>0</v>
      </c>
      <c r="O24" t="s">
        <v>105</v>
      </c>
      <c r="P24" t="s">
        <v>157</v>
      </c>
      <c r="Q24">
        <v>1020</v>
      </c>
      <c r="S24">
        <v>101020</v>
      </c>
      <c r="T24" t="s">
        <v>90</v>
      </c>
      <c r="V24" t="b">
        <v>1</v>
      </c>
      <c r="W24" t="b">
        <v>0</v>
      </c>
      <c r="X24" t="b">
        <v>0</v>
      </c>
      <c r="Y24" t="b">
        <v>0</v>
      </c>
      <c r="Z24" t="b">
        <v>0</v>
      </c>
    </row>
    <row r="25" spans="2:26">
      <c r="B25">
        <v>1021</v>
      </c>
      <c r="C25" t="s">
        <v>158</v>
      </c>
      <c r="D25" t="s">
        <v>159</v>
      </c>
      <c r="E25" t="s">
        <v>84</v>
      </c>
      <c r="F25" t="s">
        <v>93</v>
      </c>
      <c r="I25" s="29" t="s">
        <v>129</v>
      </c>
      <c r="J25">
        <v>100</v>
      </c>
      <c r="K25" t="b">
        <v>0</v>
      </c>
      <c r="L25" t="s">
        <v>95</v>
      </c>
      <c r="M25">
        <v>0</v>
      </c>
      <c r="O25" t="s">
        <v>96</v>
      </c>
      <c r="P25" t="s">
        <v>160</v>
      </c>
      <c r="Q25">
        <v>1021</v>
      </c>
      <c r="S25">
        <v>101021</v>
      </c>
      <c r="T25" t="s">
        <v>90</v>
      </c>
      <c r="V25" t="b">
        <v>1</v>
      </c>
      <c r="W25" t="b">
        <v>0</v>
      </c>
      <c r="X25" t="b">
        <v>0</v>
      </c>
      <c r="Y25" t="b">
        <v>0</v>
      </c>
      <c r="Z25" t="b">
        <v>0</v>
      </c>
    </row>
    <row r="26" spans="2:26">
      <c r="B26">
        <v>1022</v>
      </c>
      <c r="C26" t="s">
        <v>161</v>
      </c>
      <c r="D26" t="s">
        <v>162</v>
      </c>
      <c r="E26" t="s">
        <v>84</v>
      </c>
      <c r="F26" t="s">
        <v>93</v>
      </c>
      <c r="I26" s="29" t="s">
        <v>113</v>
      </c>
      <c r="J26">
        <v>100</v>
      </c>
      <c r="K26" t="b">
        <v>0</v>
      </c>
      <c r="L26" t="s">
        <v>95</v>
      </c>
      <c r="M26">
        <v>0</v>
      </c>
      <c r="O26" t="s">
        <v>101</v>
      </c>
      <c r="P26" t="s">
        <v>163</v>
      </c>
      <c r="Q26">
        <v>1022</v>
      </c>
      <c r="S26">
        <v>101022</v>
      </c>
      <c r="T26" t="s">
        <v>90</v>
      </c>
      <c r="V26" t="b">
        <v>1</v>
      </c>
      <c r="W26" t="b">
        <v>0</v>
      </c>
      <c r="X26" t="b">
        <v>0</v>
      </c>
      <c r="Y26" t="b">
        <v>0</v>
      </c>
      <c r="Z26" t="b">
        <v>0</v>
      </c>
    </row>
    <row r="27" spans="2:26">
      <c r="B27">
        <v>1023</v>
      </c>
      <c r="C27" t="s">
        <v>164</v>
      </c>
      <c r="D27" t="s">
        <v>165</v>
      </c>
      <c r="E27" t="s">
        <v>84</v>
      </c>
      <c r="F27" t="s">
        <v>93</v>
      </c>
      <c r="I27" s="29" t="s">
        <v>109</v>
      </c>
      <c r="J27">
        <v>100</v>
      </c>
      <c r="K27" t="b">
        <v>0</v>
      </c>
      <c r="L27" t="s">
        <v>95</v>
      </c>
      <c r="M27">
        <v>0</v>
      </c>
      <c r="O27" t="s">
        <v>88</v>
      </c>
      <c r="P27" t="s">
        <v>166</v>
      </c>
      <c r="Q27">
        <v>1023</v>
      </c>
      <c r="S27">
        <v>101023</v>
      </c>
      <c r="T27" t="s">
        <v>90</v>
      </c>
      <c r="V27" t="b">
        <v>1</v>
      </c>
      <c r="W27" t="b">
        <v>0</v>
      </c>
      <c r="X27" t="b">
        <v>0</v>
      </c>
      <c r="Y27" t="b">
        <v>0</v>
      </c>
      <c r="Z27" t="b">
        <v>0</v>
      </c>
    </row>
    <row r="28" spans="2:26">
      <c r="B28">
        <v>1024</v>
      </c>
      <c r="C28" t="s">
        <v>167</v>
      </c>
      <c r="D28" t="s">
        <v>168</v>
      </c>
      <c r="E28" t="s">
        <v>84</v>
      </c>
      <c r="F28" t="s">
        <v>93</v>
      </c>
      <c r="I28" s="29" t="s">
        <v>129</v>
      </c>
      <c r="J28">
        <v>100</v>
      </c>
      <c r="K28" t="b">
        <v>0</v>
      </c>
      <c r="L28" t="s">
        <v>95</v>
      </c>
      <c r="M28">
        <v>0</v>
      </c>
      <c r="O28" t="s">
        <v>96</v>
      </c>
      <c r="P28" t="s">
        <v>169</v>
      </c>
      <c r="Q28">
        <v>1024</v>
      </c>
      <c r="S28">
        <v>101024</v>
      </c>
      <c r="T28" t="s">
        <v>90</v>
      </c>
      <c r="V28" t="b">
        <v>1</v>
      </c>
      <c r="W28" t="b">
        <v>0</v>
      </c>
      <c r="X28" t="b">
        <v>0</v>
      </c>
      <c r="Y28" t="b">
        <v>0</v>
      </c>
      <c r="Z28" t="b">
        <v>0</v>
      </c>
    </row>
    <row r="29" spans="2:26">
      <c r="B29">
        <v>1025</v>
      </c>
      <c r="C29" t="s">
        <v>170</v>
      </c>
      <c r="D29" t="s">
        <v>171</v>
      </c>
      <c r="E29" t="s">
        <v>84</v>
      </c>
      <c r="F29" t="s">
        <v>93</v>
      </c>
      <c r="I29" s="29" t="s">
        <v>129</v>
      </c>
      <c r="J29">
        <v>100</v>
      </c>
      <c r="K29" t="b">
        <v>0</v>
      </c>
      <c r="L29" t="s">
        <v>95</v>
      </c>
      <c r="M29">
        <v>0</v>
      </c>
      <c r="O29" t="s">
        <v>101</v>
      </c>
      <c r="P29" t="s">
        <v>172</v>
      </c>
      <c r="Q29">
        <v>1025</v>
      </c>
      <c r="S29">
        <v>101025</v>
      </c>
      <c r="T29" t="s">
        <v>90</v>
      </c>
      <c r="V29" t="b">
        <v>1</v>
      </c>
      <c r="W29" t="b">
        <v>0</v>
      </c>
      <c r="X29" t="b">
        <v>0</v>
      </c>
      <c r="Y29" t="b">
        <v>0</v>
      </c>
      <c r="Z29" t="b">
        <v>0</v>
      </c>
    </row>
    <row r="30" spans="2:26">
      <c r="B30">
        <v>1026</v>
      </c>
      <c r="C30" t="s">
        <v>173</v>
      </c>
      <c r="D30" t="s">
        <v>174</v>
      </c>
      <c r="E30" t="s">
        <v>84</v>
      </c>
      <c r="F30" t="s">
        <v>93</v>
      </c>
      <c r="I30" s="29" t="s">
        <v>113</v>
      </c>
      <c r="J30">
        <v>100</v>
      </c>
      <c r="K30" t="b">
        <v>0</v>
      </c>
      <c r="L30" t="s">
        <v>95</v>
      </c>
      <c r="M30">
        <v>0</v>
      </c>
      <c r="O30" t="s">
        <v>105</v>
      </c>
      <c r="P30" t="s">
        <v>175</v>
      </c>
      <c r="Q30">
        <v>1026</v>
      </c>
      <c r="S30">
        <v>101026</v>
      </c>
      <c r="T30" t="s">
        <v>90</v>
      </c>
      <c r="V30" t="b">
        <v>1</v>
      </c>
      <c r="W30" t="b">
        <v>0</v>
      </c>
      <c r="X30" t="b">
        <v>0</v>
      </c>
      <c r="Y30" t="b">
        <v>0</v>
      </c>
      <c r="Z30" t="b">
        <v>0</v>
      </c>
    </row>
    <row r="31" spans="2:26">
      <c r="B31">
        <v>1027</v>
      </c>
      <c r="C31" t="s">
        <v>176</v>
      </c>
      <c r="D31" t="s">
        <v>177</v>
      </c>
      <c r="E31" t="s">
        <v>84</v>
      </c>
      <c r="F31" t="s">
        <v>93</v>
      </c>
      <c r="I31" s="29" t="s">
        <v>113</v>
      </c>
      <c r="J31">
        <v>100</v>
      </c>
      <c r="K31" t="b">
        <v>0</v>
      </c>
      <c r="L31" t="s">
        <v>95</v>
      </c>
      <c r="M31">
        <v>0</v>
      </c>
      <c r="O31" t="s">
        <v>101</v>
      </c>
      <c r="P31" t="s">
        <v>178</v>
      </c>
      <c r="Q31">
        <v>1027</v>
      </c>
      <c r="S31">
        <v>101027</v>
      </c>
      <c r="T31" t="s">
        <v>90</v>
      </c>
      <c r="V31" t="b">
        <v>1</v>
      </c>
      <c r="W31" t="b">
        <v>0</v>
      </c>
      <c r="X31" t="b">
        <v>0</v>
      </c>
      <c r="Y31" t="b">
        <v>0</v>
      </c>
      <c r="Z31" t="b">
        <v>0</v>
      </c>
    </row>
    <row r="32" spans="2:26">
      <c r="B32">
        <v>1028</v>
      </c>
      <c r="C32" t="s">
        <v>179</v>
      </c>
      <c r="D32" t="s">
        <v>180</v>
      </c>
      <c r="E32" t="s">
        <v>84</v>
      </c>
      <c r="F32" t="s">
        <v>93</v>
      </c>
      <c r="I32" s="29" t="s">
        <v>100</v>
      </c>
      <c r="J32">
        <v>100</v>
      </c>
      <c r="K32" t="b">
        <v>0</v>
      </c>
      <c r="L32" t="s">
        <v>95</v>
      </c>
      <c r="M32">
        <v>0</v>
      </c>
      <c r="O32" t="s">
        <v>88</v>
      </c>
      <c r="P32" t="s">
        <v>181</v>
      </c>
      <c r="Q32">
        <v>1028</v>
      </c>
      <c r="S32">
        <v>101028</v>
      </c>
      <c r="T32" t="s">
        <v>90</v>
      </c>
      <c r="V32" t="b">
        <v>1</v>
      </c>
      <c r="W32" t="b">
        <v>0</v>
      </c>
      <c r="X32" t="b">
        <v>0</v>
      </c>
      <c r="Y32" t="b">
        <v>0</v>
      </c>
      <c r="Z32" t="b">
        <v>0</v>
      </c>
    </row>
    <row r="33" spans="1:26">
      <c r="B33">
        <v>1029</v>
      </c>
      <c r="C33" t="s">
        <v>182</v>
      </c>
      <c r="D33" t="s">
        <v>183</v>
      </c>
      <c r="E33" t="s">
        <v>84</v>
      </c>
      <c r="F33" t="s">
        <v>93</v>
      </c>
      <c r="I33" s="29" t="s">
        <v>94</v>
      </c>
      <c r="J33">
        <v>100</v>
      </c>
      <c r="K33" t="b">
        <v>0</v>
      </c>
      <c r="L33" t="s">
        <v>95</v>
      </c>
      <c r="M33">
        <v>0</v>
      </c>
      <c r="O33" t="s">
        <v>101</v>
      </c>
      <c r="P33" t="s">
        <v>184</v>
      </c>
      <c r="Q33">
        <v>1029</v>
      </c>
      <c r="S33">
        <v>101029</v>
      </c>
      <c r="T33" t="s">
        <v>90</v>
      </c>
      <c r="V33" t="b">
        <v>1</v>
      </c>
      <c r="W33" t="b">
        <v>0</v>
      </c>
      <c r="X33" t="b">
        <v>0</v>
      </c>
      <c r="Y33" t="b">
        <v>0</v>
      </c>
      <c r="Z33" t="b">
        <v>0</v>
      </c>
    </row>
    <row r="34" spans="1:26">
      <c r="B34">
        <v>1030</v>
      </c>
      <c r="C34" t="s">
        <v>185</v>
      </c>
      <c r="D34" t="s">
        <v>186</v>
      </c>
      <c r="E34" t="s">
        <v>84</v>
      </c>
      <c r="F34" t="s">
        <v>93</v>
      </c>
      <c r="I34" s="29" t="s">
        <v>109</v>
      </c>
      <c r="J34">
        <v>100</v>
      </c>
      <c r="K34" t="b">
        <v>0</v>
      </c>
      <c r="L34" t="s">
        <v>95</v>
      </c>
      <c r="M34">
        <v>0</v>
      </c>
      <c r="O34" t="s">
        <v>105</v>
      </c>
      <c r="P34" t="s">
        <v>187</v>
      </c>
      <c r="Q34">
        <v>1030</v>
      </c>
      <c r="S34">
        <v>101030</v>
      </c>
      <c r="T34" t="s">
        <v>90</v>
      </c>
      <c r="V34" t="b">
        <v>1</v>
      </c>
      <c r="W34" t="b">
        <v>0</v>
      </c>
      <c r="X34" t="b">
        <v>0</v>
      </c>
      <c r="Y34" t="b">
        <v>0</v>
      </c>
      <c r="Z34" t="b">
        <v>0</v>
      </c>
    </row>
    <row r="35" spans="1:26">
      <c r="B35">
        <v>1031</v>
      </c>
      <c r="C35" t="s">
        <v>188</v>
      </c>
      <c r="D35" t="s">
        <v>189</v>
      </c>
      <c r="E35" t="s">
        <v>84</v>
      </c>
      <c r="F35" t="s">
        <v>93</v>
      </c>
      <c r="I35" s="29" t="s">
        <v>100</v>
      </c>
      <c r="J35">
        <v>100</v>
      </c>
      <c r="K35" t="b">
        <v>0</v>
      </c>
      <c r="L35" t="s">
        <v>95</v>
      </c>
      <c r="M35">
        <v>0</v>
      </c>
      <c r="O35" t="s">
        <v>88</v>
      </c>
      <c r="P35" t="s">
        <v>190</v>
      </c>
      <c r="Q35">
        <v>1031</v>
      </c>
      <c r="S35">
        <v>101031</v>
      </c>
      <c r="T35" t="s">
        <v>90</v>
      </c>
      <c r="V35" t="b">
        <v>1</v>
      </c>
      <c r="W35" t="b">
        <v>0</v>
      </c>
      <c r="X35" t="b">
        <v>0</v>
      </c>
      <c r="Y35" t="b">
        <v>0</v>
      </c>
      <c r="Z35" t="b">
        <v>0</v>
      </c>
    </row>
    <row r="36" spans="1:26">
      <c r="B36">
        <v>1032</v>
      </c>
      <c r="C36" t="s">
        <v>191</v>
      </c>
      <c r="D36" t="s">
        <v>192</v>
      </c>
      <c r="E36" t="s">
        <v>84</v>
      </c>
      <c r="F36" t="s">
        <v>93</v>
      </c>
      <c r="I36" s="29" t="s">
        <v>109</v>
      </c>
      <c r="J36">
        <v>100</v>
      </c>
      <c r="K36" t="b">
        <v>0</v>
      </c>
      <c r="L36" t="s">
        <v>95</v>
      </c>
      <c r="M36">
        <v>0</v>
      </c>
      <c r="O36" t="s">
        <v>96</v>
      </c>
      <c r="P36" t="s">
        <v>193</v>
      </c>
      <c r="Q36">
        <v>1032</v>
      </c>
      <c r="S36">
        <v>101032</v>
      </c>
      <c r="T36" t="s">
        <v>90</v>
      </c>
      <c r="V36" t="b">
        <v>1</v>
      </c>
      <c r="W36" t="b">
        <v>0</v>
      </c>
      <c r="X36" t="b">
        <v>0</v>
      </c>
      <c r="Y36" t="b">
        <v>0</v>
      </c>
      <c r="Z36" t="b">
        <v>0</v>
      </c>
    </row>
    <row r="37" spans="1:26">
      <c r="B37">
        <v>1033</v>
      </c>
      <c r="C37" t="s">
        <v>194</v>
      </c>
      <c r="D37" t="s">
        <v>195</v>
      </c>
      <c r="E37" t="s">
        <v>84</v>
      </c>
      <c r="F37" t="s">
        <v>93</v>
      </c>
      <c r="I37" s="29" t="s">
        <v>94</v>
      </c>
      <c r="J37">
        <v>100</v>
      </c>
      <c r="K37" t="b">
        <v>0</v>
      </c>
      <c r="L37" t="s">
        <v>95</v>
      </c>
      <c r="M37">
        <v>0</v>
      </c>
      <c r="O37" t="s">
        <v>105</v>
      </c>
      <c r="P37" t="s">
        <v>196</v>
      </c>
      <c r="Q37">
        <v>1033</v>
      </c>
      <c r="S37">
        <v>101033</v>
      </c>
      <c r="T37" t="s">
        <v>90</v>
      </c>
      <c r="V37" t="b">
        <v>1</v>
      </c>
      <c r="W37" t="b">
        <v>0</v>
      </c>
      <c r="X37" t="b">
        <v>0</v>
      </c>
      <c r="Y37" t="b">
        <v>0</v>
      </c>
      <c r="Z37" t="b">
        <v>0</v>
      </c>
    </row>
    <row r="38" spans="1:26">
      <c r="B38">
        <v>1034</v>
      </c>
      <c r="C38" t="s">
        <v>197</v>
      </c>
      <c r="D38" t="s">
        <v>198</v>
      </c>
      <c r="E38" t="s">
        <v>84</v>
      </c>
      <c r="F38" t="s">
        <v>93</v>
      </c>
      <c r="I38" s="29" t="s">
        <v>113</v>
      </c>
      <c r="J38">
        <v>100</v>
      </c>
      <c r="K38" t="b">
        <v>0</v>
      </c>
      <c r="L38" t="s">
        <v>95</v>
      </c>
      <c r="M38">
        <v>0</v>
      </c>
      <c r="O38" t="s">
        <v>88</v>
      </c>
      <c r="P38" t="s">
        <v>199</v>
      </c>
      <c r="Q38">
        <v>1034</v>
      </c>
      <c r="S38">
        <v>101034</v>
      </c>
      <c r="T38" t="s">
        <v>90</v>
      </c>
      <c r="V38" t="b">
        <v>1</v>
      </c>
      <c r="W38" t="b">
        <v>0</v>
      </c>
      <c r="X38" t="b">
        <v>0</v>
      </c>
      <c r="Y38" t="b">
        <v>0</v>
      </c>
      <c r="Z38" t="b">
        <v>0</v>
      </c>
    </row>
    <row r="39" spans="1:26">
      <c r="B39">
        <v>1035</v>
      </c>
      <c r="C39" t="s">
        <v>200</v>
      </c>
      <c r="D39" t="s">
        <v>201</v>
      </c>
      <c r="E39" t="s">
        <v>84</v>
      </c>
      <c r="F39" t="s">
        <v>93</v>
      </c>
      <c r="I39" s="29" t="s">
        <v>109</v>
      </c>
      <c r="J39">
        <v>100</v>
      </c>
      <c r="K39" t="b">
        <v>0</v>
      </c>
      <c r="L39" t="s">
        <v>95</v>
      </c>
      <c r="M39">
        <v>0</v>
      </c>
      <c r="O39" t="s">
        <v>96</v>
      </c>
      <c r="P39" t="s">
        <v>202</v>
      </c>
      <c r="Q39">
        <v>1035</v>
      </c>
      <c r="S39">
        <v>101035</v>
      </c>
      <c r="T39" t="s">
        <v>90</v>
      </c>
      <c r="V39" t="b">
        <v>1</v>
      </c>
      <c r="W39" t="b">
        <v>0</v>
      </c>
      <c r="X39" t="b">
        <v>0</v>
      </c>
      <c r="Y39" t="b">
        <v>0</v>
      </c>
      <c r="Z39" t="b">
        <v>0</v>
      </c>
    </row>
    <row r="40" spans="1:26">
      <c r="B40">
        <v>1036</v>
      </c>
      <c r="C40" t="s">
        <v>203</v>
      </c>
      <c r="D40" t="s">
        <v>204</v>
      </c>
      <c r="E40" t="s">
        <v>84</v>
      </c>
      <c r="F40" t="s">
        <v>93</v>
      </c>
      <c r="I40" s="29" t="s">
        <v>109</v>
      </c>
      <c r="J40">
        <v>100</v>
      </c>
      <c r="K40" t="b">
        <v>0</v>
      </c>
      <c r="L40" t="s">
        <v>95</v>
      </c>
      <c r="M40">
        <v>0</v>
      </c>
      <c r="O40" t="s">
        <v>101</v>
      </c>
      <c r="P40" t="s">
        <v>205</v>
      </c>
      <c r="Q40">
        <v>1036</v>
      </c>
      <c r="S40">
        <v>101036</v>
      </c>
      <c r="T40" t="s">
        <v>90</v>
      </c>
      <c r="V40" t="b">
        <v>1</v>
      </c>
      <c r="W40" t="b">
        <v>0</v>
      </c>
      <c r="X40" t="b">
        <v>0</v>
      </c>
      <c r="Y40" t="b">
        <v>0</v>
      </c>
      <c r="Z40" t="b">
        <v>0</v>
      </c>
    </row>
    <row r="41" spans="1:26">
      <c r="B41">
        <v>1037</v>
      </c>
      <c r="C41" t="s">
        <v>206</v>
      </c>
      <c r="D41" t="s">
        <v>207</v>
      </c>
      <c r="E41" t="s">
        <v>84</v>
      </c>
      <c r="F41" t="s">
        <v>93</v>
      </c>
      <c r="I41" s="29" t="s">
        <v>113</v>
      </c>
      <c r="J41">
        <v>100</v>
      </c>
      <c r="K41" t="b">
        <v>0</v>
      </c>
      <c r="L41" t="s">
        <v>95</v>
      </c>
      <c r="M41">
        <v>0</v>
      </c>
      <c r="O41" t="s">
        <v>105</v>
      </c>
      <c r="P41" t="s">
        <v>208</v>
      </c>
      <c r="Q41">
        <v>1037</v>
      </c>
      <c r="S41">
        <v>101037</v>
      </c>
      <c r="T41" t="s">
        <v>90</v>
      </c>
      <c r="V41" t="b">
        <v>1</v>
      </c>
      <c r="W41" t="b">
        <v>0</v>
      </c>
      <c r="X41" t="b">
        <v>0</v>
      </c>
      <c r="Y41" t="b">
        <v>0</v>
      </c>
      <c r="Z41" t="b">
        <v>0</v>
      </c>
    </row>
    <row r="42" spans="1:26">
      <c r="A42" t="s">
        <v>39</v>
      </c>
      <c r="M42" t="s">
        <v>209</v>
      </c>
    </row>
    <row r="43" spans="1:26">
      <c r="B43">
        <v>2001</v>
      </c>
      <c r="C43" t="s">
        <v>210</v>
      </c>
      <c r="D43" t="s">
        <v>211</v>
      </c>
      <c r="E43" t="s">
        <v>212</v>
      </c>
      <c r="F43" t="s">
        <v>93</v>
      </c>
      <c r="I43" t="s">
        <v>100</v>
      </c>
      <c r="J43">
        <v>300</v>
      </c>
      <c r="K43" t="b">
        <v>0</v>
      </c>
      <c r="L43" t="s">
        <v>95</v>
      </c>
      <c r="M43">
        <v>0</v>
      </c>
      <c r="O43" t="s">
        <v>213</v>
      </c>
      <c r="P43" t="s">
        <v>214</v>
      </c>
      <c r="S43">
        <v>102001</v>
      </c>
      <c r="T43" t="s">
        <v>90</v>
      </c>
      <c r="V43" t="b">
        <v>1</v>
      </c>
      <c r="W43" t="b">
        <v>0</v>
      </c>
      <c r="X43" t="b">
        <v>0</v>
      </c>
      <c r="Y43" t="b">
        <v>0</v>
      </c>
      <c r="Z43" t="b">
        <v>0</v>
      </c>
    </row>
    <row r="44" spans="1:26">
      <c r="B44">
        <v>2002</v>
      </c>
      <c r="C44" t="s">
        <v>215</v>
      </c>
      <c r="D44" t="s">
        <v>216</v>
      </c>
      <c r="E44" t="s">
        <v>212</v>
      </c>
      <c r="F44" t="s">
        <v>93</v>
      </c>
      <c r="I44" t="s">
        <v>94</v>
      </c>
      <c r="J44">
        <v>300</v>
      </c>
      <c r="K44" t="b">
        <v>0</v>
      </c>
      <c r="L44" t="s">
        <v>95</v>
      </c>
      <c r="M44">
        <v>0</v>
      </c>
      <c r="O44" t="s">
        <v>217</v>
      </c>
      <c r="P44" t="s">
        <v>218</v>
      </c>
      <c r="S44">
        <v>102002</v>
      </c>
      <c r="T44" t="s">
        <v>90</v>
      </c>
      <c r="V44" t="b">
        <v>1</v>
      </c>
      <c r="W44" t="b">
        <v>0</v>
      </c>
      <c r="X44" t="b">
        <v>0</v>
      </c>
      <c r="Y44" t="b">
        <v>0</v>
      </c>
      <c r="Z44" t="b">
        <v>0</v>
      </c>
    </row>
    <row r="45" spans="1:26">
      <c r="B45">
        <v>2003</v>
      </c>
      <c r="C45" t="s">
        <v>219</v>
      </c>
      <c r="D45" t="s">
        <v>220</v>
      </c>
      <c r="E45" t="s">
        <v>212</v>
      </c>
      <c r="F45" t="s">
        <v>85</v>
      </c>
      <c r="I45" t="s">
        <v>100</v>
      </c>
      <c r="J45">
        <v>300</v>
      </c>
      <c r="K45" t="b">
        <v>0</v>
      </c>
      <c r="L45" t="s">
        <v>95</v>
      </c>
      <c r="M45">
        <v>0</v>
      </c>
      <c r="O45" t="s">
        <v>221</v>
      </c>
      <c r="P45" t="s">
        <v>222</v>
      </c>
      <c r="S45">
        <v>102003</v>
      </c>
      <c r="T45" t="s">
        <v>90</v>
      </c>
      <c r="V45" t="b">
        <v>1</v>
      </c>
      <c r="W45" t="b">
        <v>0</v>
      </c>
      <c r="X45" t="b">
        <v>0</v>
      </c>
      <c r="Y45" t="b">
        <v>0</v>
      </c>
      <c r="Z45" t="b">
        <v>0</v>
      </c>
    </row>
    <row r="46" spans="1:26">
      <c r="B46">
        <v>2004</v>
      </c>
      <c r="C46" t="s">
        <v>223</v>
      </c>
      <c r="D46" t="s">
        <v>224</v>
      </c>
      <c r="E46" t="s">
        <v>212</v>
      </c>
      <c r="F46" t="s">
        <v>93</v>
      </c>
      <c r="I46" t="s">
        <v>94</v>
      </c>
      <c r="J46">
        <v>300</v>
      </c>
      <c r="K46" t="b">
        <v>0</v>
      </c>
      <c r="L46" t="s">
        <v>95</v>
      </c>
      <c r="M46">
        <v>0</v>
      </c>
      <c r="O46" t="s">
        <v>225</v>
      </c>
      <c r="P46" t="s">
        <v>226</v>
      </c>
      <c r="S46">
        <v>102004</v>
      </c>
      <c r="T46" t="s">
        <v>90</v>
      </c>
      <c r="V46" t="b">
        <v>1</v>
      </c>
      <c r="W46" t="b">
        <v>0</v>
      </c>
      <c r="X46" t="b">
        <v>0</v>
      </c>
      <c r="Y46" t="b">
        <v>0</v>
      </c>
      <c r="Z46" t="b">
        <v>0</v>
      </c>
    </row>
    <row r="47" spans="1:26">
      <c r="B47">
        <v>2005</v>
      </c>
      <c r="C47" t="s">
        <v>227</v>
      </c>
      <c r="D47" t="s">
        <v>228</v>
      </c>
      <c r="E47" t="s">
        <v>212</v>
      </c>
      <c r="F47" t="s">
        <v>93</v>
      </c>
      <c r="I47" t="s">
        <v>113</v>
      </c>
      <c r="J47">
        <v>300</v>
      </c>
      <c r="K47" t="b">
        <v>0</v>
      </c>
      <c r="L47" t="s">
        <v>95</v>
      </c>
      <c r="M47">
        <v>0</v>
      </c>
      <c r="O47" t="s">
        <v>229</v>
      </c>
      <c r="P47" t="s">
        <v>230</v>
      </c>
      <c r="S47">
        <v>102005</v>
      </c>
      <c r="T47" t="s">
        <v>90</v>
      </c>
      <c r="V47" t="b">
        <v>1</v>
      </c>
      <c r="W47" t="b">
        <v>0</v>
      </c>
      <c r="X47" t="b">
        <v>0</v>
      </c>
      <c r="Y47" t="b">
        <v>0</v>
      </c>
      <c r="Z47" t="b">
        <v>0</v>
      </c>
    </row>
    <row r="48" spans="1:26">
      <c r="B48">
        <v>2006</v>
      </c>
      <c r="C48" t="s">
        <v>231</v>
      </c>
      <c r="D48" t="s">
        <v>232</v>
      </c>
      <c r="E48" t="s">
        <v>212</v>
      </c>
      <c r="F48" t="s">
        <v>93</v>
      </c>
      <c r="G48" t="s">
        <v>209</v>
      </c>
      <c r="H48" t="s">
        <v>209</v>
      </c>
      <c r="I48" t="s">
        <v>94</v>
      </c>
      <c r="J48">
        <v>300</v>
      </c>
      <c r="K48" t="b">
        <v>0</v>
      </c>
      <c r="L48" t="s">
        <v>95</v>
      </c>
      <c r="M48">
        <v>0</v>
      </c>
      <c r="N48" s="30" t="s">
        <v>209</v>
      </c>
      <c r="O48" t="s">
        <v>233</v>
      </c>
      <c r="P48" t="s">
        <v>234</v>
      </c>
      <c r="S48">
        <v>102006</v>
      </c>
      <c r="T48" t="s">
        <v>90</v>
      </c>
      <c r="V48" t="b">
        <v>1</v>
      </c>
      <c r="W48" t="b">
        <v>0</v>
      </c>
      <c r="X48" t="b">
        <v>0</v>
      </c>
      <c r="Y48" t="b">
        <v>0</v>
      </c>
      <c r="Z48" t="b">
        <v>0</v>
      </c>
    </row>
    <row r="49" spans="1:30">
      <c r="B49">
        <v>2007</v>
      </c>
      <c r="C49" t="s">
        <v>235</v>
      </c>
      <c r="D49" t="s">
        <v>236</v>
      </c>
      <c r="E49" t="s">
        <v>212</v>
      </c>
      <c r="F49" t="s">
        <v>93</v>
      </c>
      <c r="I49" t="s">
        <v>100</v>
      </c>
      <c r="J49">
        <v>300</v>
      </c>
      <c r="K49" t="b">
        <v>0</v>
      </c>
      <c r="L49" t="s">
        <v>95</v>
      </c>
      <c r="M49">
        <v>0</v>
      </c>
      <c r="O49" t="s">
        <v>237</v>
      </c>
      <c r="P49" t="s">
        <v>238</v>
      </c>
      <c r="S49">
        <v>102007</v>
      </c>
      <c r="T49" t="s">
        <v>90</v>
      </c>
      <c r="V49" t="b">
        <v>1</v>
      </c>
      <c r="W49" t="b">
        <v>0</v>
      </c>
      <c r="X49" t="b">
        <v>0</v>
      </c>
      <c r="Y49" t="b">
        <v>0</v>
      </c>
      <c r="Z49" t="b">
        <v>0</v>
      </c>
    </row>
    <row r="50" spans="1:30">
      <c r="B50">
        <v>2008</v>
      </c>
      <c r="C50" t="s">
        <v>239</v>
      </c>
      <c r="D50" t="s">
        <v>240</v>
      </c>
      <c r="E50" t="s">
        <v>212</v>
      </c>
      <c r="F50" t="s">
        <v>93</v>
      </c>
      <c r="I50" t="s">
        <v>109</v>
      </c>
      <c r="J50">
        <v>300</v>
      </c>
      <c r="K50" t="b">
        <v>0</v>
      </c>
      <c r="L50" t="s">
        <v>95</v>
      </c>
      <c r="M50">
        <v>0</v>
      </c>
      <c r="O50" t="s">
        <v>241</v>
      </c>
      <c r="P50" t="s">
        <v>242</v>
      </c>
      <c r="S50">
        <v>102008</v>
      </c>
      <c r="T50" t="s">
        <v>90</v>
      </c>
      <c r="V50" t="b">
        <v>1</v>
      </c>
      <c r="W50" t="b">
        <v>0</v>
      </c>
      <c r="X50" t="b">
        <v>0</v>
      </c>
      <c r="Y50" t="b">
        <v>0</v>
      </c>
      <c r="Z50" t="b">
        <v>0</v>
      </c>
    </row>
    <row r="51" spans="1:30">
      <c r="B51">
        <v>2009</v>
      </c>
      <c r="C51" t="s">
        <v>243</v>
      </c>
      <c r="D51" t="s">
        <v>244</v>
      </c>
      <c r="E51" t="s">
        <v>212</v>
      </c>
      <c r="F51" t="s">
        <v>85</v>
      </c>
      <c r="I51" t="s">
        <v>100</v>
      </c>
      <c r="J51">
        <v>300</v>
      </c>
      <c r="K51" t="b">
        <v>0</v>
      </c>
      <c r="L51" t="s">
        <v>95</v>
      </c>
      <c r="M51">
        <v>0</v>
      </c>
      <c r="O51" t="s">
        <v>245</v>
      </c>
      <c r="P51" t="s">
        <v>246</v>
      </c>
      <c r="S51">
        <v>102009</v>
      </c>
      <c r="T51" t="s">
        <v>90</v>
      </c>
      <c r="V51" t="b">
        <v>1</v>
      </c>
      <c r="W51" t="b">
        <v>0</v>
      </c>
      <c r="X51" t="b">
        <v>0</v>
      </c>
      <c r="Y51" t="b">
        <v>0</v>
      </c>
      <c r="Z51" t="b">
        <v>0</v>
      </c>
    </row>
    <row r="52" spans="1:30">
      <c r="B52">
        <v>2010</v>
      </c>
      <c r="C52" t="s">
        <v>247</v>
      </c>
      <c r="D52" t="s">
        <v>248</v>
      </c>
      <c r="E52" t="s">
        <v>212</v>
      </c>
      <c r="F52" t="s">
        <v>93</v>
      </c>
      <c r="I52" t="s">
        <v>109</v>
      </c>
      <c r="J52">
        <v>300</v>
      </c>
      <c r="K52" t="b">
        <v>0</v>
      </c>
      <c r="L52" t="s">
        <v>95</v>
      </c>
      <c r="M52">
        <v>0</v>
      </c>
      <c r="O52" t="s">
        <v>249</v>
      </c>
      <c r="P52" t="s">
        <v>250</v>
      </c>
      <c r="S52">
        <v>102010</v>
      </c>
      <c r="T52" t="s">
        <v>90</v>
      </c>
      <c r="V52" t="b">
        <v>1</v>
      </c>
      <c r="W52" t="b">
        <v>0</v>
      </c>
      <c r="X52" t="b">
        <v>0</v>
      </c>
      <c r="Y52" t="b">
        <v>0</v>
      </c>
      <c r="Z52" t="b">
        <v>0</v>
      </c>
    </row>
    <row r="53" spans="1:30">
      <c r="A53" t="s">
        <v>209</v>
      </c>
      <c r="B53">
        <v>2011</v>
      </c>
      <c r="C53" t="s">
        <v>251</v>
      </c>
      <c r="D53" t="s">
        <v>252</v>
      </c>
      <c r="E53" t="s">
        <v>212</v>
      </c>
      <c r="F53" t="s">
        <v>93</v>
      </c>
      <c r="G53" t="s">
        <v>209</v>
      </c>
      <c r="H53" t="s">
        <v>209</v>
      </c>
      <c r="I53" t="s">
        <v>94</v>
      </c>
      <c r="J53">
        <v>300</v>
      </c>
      <c r="K53" t="b">
        <v>0</v>
      </c>
      <c r="L53" t="s">
        <v>95</v>
      </c>
      <c r="M53">
        <v>0</v>
      </c>
      <c r="N53" s="30" t="s">
        <v>209</v>
      </c>
      <c r="O53" t="s">
        <v>253</v>
      </c>
      <c r="P53" t="s">
        <v>254</v>
      </c>
      <c r="Q53" t="s">
        <v>209</v>
      </c>
      <c r="R53" s="30" t="s">
        <v>209</v>
      </c>
      <c r="S53">
        <v>102011</v>
      </c>
      <c r="T53" t="s">
        <v>90</v>
      </c>
      <c r="V53" t="b">
        <v>1</v>
      </c>
      <c r="W53" t="b">
        <v>0</v>
      </c>
      <c r="X53" t="b">
        <v>0</v>
      </c>
      <c r="Y53" t="b">
        <v>0</v>
      </c>
      <c r="Z53" t="b">
        <v>0</v>
      </c>
      <c r="AA53" t="s">
        <v>209</v>
      </c>
      <c r="AB53" t="s">
        <v>209</v>
      </c>
      <c r="AC53" t="s">
        <v>209</v>
      </c>
      <c r="AD53" t="s">
        <v>209</v>
      </c>
    </row>
    <row r="54" spans="1:30">
      <c r="A54" t="s">
        <v>209</v>
      </c>
      <c r="B54">
        <v>2012</v>
      </c>
      <c r="C54" t="s">
        <v>255</v>
      </c>
      <c r="D54" t="s">
        <v>256</v>
      </c>
      <c r="E54" t="s">
        <v>212</v>
      </c>
      <c r="F54" t="s">
        <v>93</v>
      </c>
      <c r="G54" t="s">
        <v>209</v>
      </c>
      <c r="H54" t="s">
        <v>209</v>
      </c>
      <c r="I54" t="s">
        <v>100</v>
      </c>
      <c r="J54">
        <v>300</v>
      </c>
      <c r="K54" t="b">
        <v>0</v>
      </c>
      <c r="L54" t="s">
        <v>95</v>
      </c>
      <c r="M54">
        <v>0</v>
      </c>
      <c r="N54" s="30" t="s">
        <v>209</v>
      </c>
      <c r="O54" t="s">
        <v>257</v>
      </c>
      <c r="P54" t="s">
        <v>258</v>
      </c>
      <c r="Q54" t="s">
        <v>209</v>
      </c>
      <c r="R54" s="30" t="s">
        <v>209</v>
      </c>
      <c r="S54">
        <v>102012</v>
      </c>
      <c r="T54" t="s">
        <v>90</v>
      </c>
      <c r="V54" t="b">
        <v>1</v>
      </c>
      <c r="W54" t="b">
        <v>0</v>
      </c>
      <c r="X54" t="b">
        <v>0</v>
      </c>
      <c r="Y54" t="b">
        <v>0</v>
      </c>
      <c r="Z54" t="b">
        <v>0</v>
      </c>
      <c r="AA54" t="s">
        <v>209</v>
      </c>
      <c r="AB54" t="s">
        <v>209</v>
      </c>
      <c r="AC54" t="s">
        <v>209</v>
      </c>
      <c r="AD54" t="s">
        <v>209</v>
      </c>
    </row>
    <row r="55" spans="1:30">
      <c r="B55">
        <v>2013</v>
      </c>
      <c r="C55" t="s">
        <v>259</v>
      </c>
      <c r="D55" t="s">
        <v>260</v>
      </c>
      <c r="E55" t="s">
        <v>212</v>
      </c>
      <c r="F55" t="s">
        <v>85</v>
      </c>
      <c r="I55" t="s">
        <v>109</v>
      </c>
      <c r="J55">
        <v>100</v>
      </c>
      <c r="K55" t="b">
        <v>0</v>
      </c>
      <c r="L55" t="s">
        <v>95</v>
      </c>
      <c r="M55">
        <v>0</v>
      </c>
      <c r="O55" t="s">
        <v>261</v>
      </c>
      <c r="P55" t="s">
        <v>262</v>
      </c>
      <c r="S55">
        <v>102013</v>
      </c>
      <c r="T55" t="s">
        <v>90</v>
      </c>
      <c r="V55" t="b">
        <v>1</v>
      </c>
      <c r="W55" t="b">
        <v>0</v>
      </c>
      <c r="X55" t="b">
        <v>0</v>
      </c>
      <c r="Y55" t="b">
        <v>0</v>
      </c>
      <c r="Z55" t="b">
        <v>0</v>
      </c>
    </row>
    <row r="56" spans="1:30">
      <c r="B56">
        <v>2014</v>
      </c>
      <c r="C56" t="s">
        <v>263</v>
      </c>
      <c r="D56" t="s">
        <v>264</v>
      </c>
      <c r="E56" t="s">
        <v>212</v>
      </c>
      <c r="F56" t="s">
        <v>93</v>
      </c>
      <c r="I56" t="s">
        <v>113</v>
      </c>
      <c r="J56">
        <v>100</v>
      </c>
      <c r="K56" t="b">
        <v>0</v>
      </c>
      <c r="L56" t="s">
        <v>95</v>
      </c>
      <c r="M56">
        <v>0</v>
      </c>
      <c r="O56" t="s">
        <v>265</v>
      </c>
      <c r="P56" t="s">
        <v>266</v>
      </c>
      <c r="S56">
        <v>102014</v>
      </c>
      <c r="T56" t="s">
        <v>90</v>
      </c>
      <c r="V56" t="b">
        <v>1</v>
      </c>
      <c r="W56" t="b">
        <v>0</v>
      </c>
      <c r="X56" t="b">
        <v>0</v>
      </c>
      <c r="Y56" t="b">
        <v>0</v>
      </c>
      <c r="Z56" t="b">
        <v>0</v>
      </c>
    </row>
    <row r="57" spans="1:30">
      <c r="B57">
        <v>2015</v>
      </c>
      <c r="C57" t="s">
        <v>267</v>
      </c>
      <c r="D57" t="s">
        <v>268</v>
      </c>
      <c r="E57" t="s">
        <v>212</v>
      </c>
      <c r="F57" t="s">
        <v>93</v>
      </c>
      <c r="I57" t="s">
        <v>109</v>
      </c>
      <c r="J57">
        <v>100</v>
      </c>
      <c r="K57" t="b">
        <v>0</v>
      </c>
      <c r="L57" t="s">
        <v>95</v>
      </c>
      <c r="M57">
        <v>0</v>
      </c>
      <c r="O57" t="s">
        <v>269</v>
      </c>
      <c r="P57" t="s">
        <v>270</v>
      </c>
      <c r="S57">
        <v>102015</v>
      </c>
      <c r="T57" t="s">
        <v>90</v>
      </c>
      <c r="V57" t="b">
        <v>1</v>
      </c>
      <c r="W57" t="b">
        <v>0</v>
      </c>
      <c r="X57" t="b">
        <v>0</v>
      </c>
      <c r="Y57" t="b">
        <v>0</v>
      </c>
      <c r="Z57" t="b">
        <v>0</v>
      </c>
    </row>
    <row r="58" spans="1:30">
      <c r="B58">
        <v>2016</v>
      </c>
      <c r="C58" t="s">
        <v>271</v>
      </c>
      <c r="D58" t="s">
        <v>272</v>
      </c>
      <c r="E58" t="s">
        <v>212</v>
      </c>
      <c r="F58" t="s">
        <v>93</v>
      </c>
      <c r="I58" t="s">
        <v>129</v>
      </c>
      <c r="J58">
        <v>100</v>
      </c>
      <c r="K58" t="b">
        <v>0</v>
      </c>
      <c r="L58" t="s">
        <v>95</v>
      </c>
      <c r="M58">
        <v>0</v>
      </c>
      <c r="O58" t="s">
        <v>273</v>
      </c>
      <c r="P58" t="s">
        <v>274</v>
      </c>
      <c r="S58">
        <v>102016</v>
      </c>
      <c r="T58" t="s">
        <v>90</v>
      </c>
      <c r="V58" t="b">
        <v>1</v>
      </c>
      <c r="W58" t="b">
        <v>0</v>
      </c>
      <c r="X58" t="b">
        <v>0</v>
      </c>
      <c r="Y58" t="b">
        <v>0</v>
      </c>
      <c r="Z58" t="b">
        <v>0</v>
      </c>
    </row>
    <row r="59" spans="1:30">
      <c r="B59">
        <v>2017</v>
      </c>
      <c r="C59" t="s">
        <v>275</v>
      </c>
      <c r="D59" t="s">
        <v>276</v>
      </c>
      <c r="E59" t="s">
        <v>212</v>
      </c>
      <c r="F59" t="s">
        <v>93</v>
      </c>
      <c r="I59" t="s">
        <v>129</v>
      </c>
      <c r="J59">
        <v>100</v>
      </c>
      <c r="K59" t="b">
        <v>0</v>
      </c>
      <c r="L59" t="s">
        <v>95</v>
      </c>
      <c r="M59">
        <v>0</v>
      </c>
      <c r="O59" t="s">
        <v>277</v>
      </c>
      <c r="P59" t="s">
        <v>278</v>
      </c>
      <c r="S59">
        <v>102017</v>
      </c>
      <c r="T59" t="s">
        <v>90</v>
      </c>
      <c r="V59" t="b">
        <v>1</v>
      </c>
      <c r="W59" t="b">
        <v>0</v>
      </c>
      <c r="X59" t="b">
        <v>0</v>
      </c>
      <c r="Y59" t="b">
        <v>0</v>
      </c>
      <c r="Z59" t="b">
        <v>0</v>
      </c>
    </row>
    <row r="60" spans="1:30">
      <c r="B60">
        <v>2018</v>
      </c>
      <c r="C60" t="s">
        <v>279</v>
      </c>
      <c r="D60" t="s">
        <v>280</v>
      </c>
      <c r="E60" t="s">
        <v>212</v>
      </c>
      <c r="F60" t="s">
        <v>93</v>
      </c>
      <c r="I60" t="s">
        <v>129</v>
      </c>
      <c r="J60">
        <v>100</v>
      </c>
      <c r="K60" t="b">
        <v>0</v>
      </c>
      <c r="L60" t="s">
        <v>95</v>
      </c>
      <c r="M60">
        <v>0</v>
      </c>
      <c r="O60" t="s">
        <v>281</v>
      </c>
      <c r="P60" t="s">
        <v>282</v>
      </c>
      <c r="S60">
        <v>102018</v>
      </c>
      <c r="T60" t="s">
        <v>90</v>
      </c>
      <c r="V60" t="b">
        <v>1</v>
      </c>
      <c r="W60" t="b">
        <v>0</v>
      </c>
      <c r="X60" t="b">
        <v>0</v>
      </c>
      <c r="Y60" t="b">
        <v>0</v>
      </c>
      <c r="Z60" t="b">
        <v>0</v>
      </c>
    </row>
    <row r="61" spans="1:30">
      <c r="B61">
        <v>2019</v>
      </c>
      <c r="C61" t="s">
        <v>283</v>
      </c>
      <c r="D61" t="s">
        <v>284</v>
      </c>
      <c r="E61" t="s">
        <v>212</v>
      </c>
      <c r="F61" t="s">
        <v>93</v>
      </c>
      <c r="I61" t="s">
        <v>129</v>
      </c>
      <c r="J61">
        <v>100</v>
      </c>
      <c r="K61" t="b">
        <v>0</v>
      </c>
      <c r="L61" t="s">
        <v>95</v>
      </c>
      <c r="M61">
        <v>0</v>
      </c>
      <c r="O61" t="s">
        <v>285</v>
      </c>
      <c r="P61" t="s">
        <v>286</v>
      </c>
      <c r="S61">
        <v>102019</v>
      </c>
      <c r="T61" t="s">
        <v>90</v>
      </c>
      <c r="V61" t="b">
        <v>1</v>
      </c>
      <c r="W61" t="b">
        <v>0</v>
      </c>
      <c r="X61" t="b">
        <v>0</v>
      </c>
      <c r="Y61" t="b">
        <v>0</v>
      </c>
      <c r="Z61" t="b">
        <v>0</v>
      </c>
    </row>
    <row r="62" spans="1:30">
      <c r="B62">
        <v>2020</v>
      </c>
      <c r="C62" t="s">
        <v>287</v>
      </c>
      <c r="D62" t="s">
        <v>288</v>
      </c>
      <c r="E62" t="s">
        <v>212</v>
      </c>
      <c r="F62" t="s">
        <v>93</v>
      </c>
      <c r="I62" t="s">
        <v>113</v>
      </c>
      <c r="J62">
        <v>100</v>
      </c>
      <c r="K62" t="b">
        <v>0</v>
      </c>
      <c r="L62" t="s">
        <v>95</v>
      </c>
      <c r="M62">
        <v>0</v>
      </c>
      <c r="O62" t="s">
        <v>289</v>
      </c>
      <c r="P62" t="s">
        <v>290</v>
      </c>
      <c r="S62">
        <v>102020</v>
      </c>
      <c r="T62" t="s">
        <v>90</v>
      </c>
      <c r="V62" t="b">
        <v>1</v>
      </c>
      <c r="W62" t="b">
        <v>0</v>
      </c>
      <c r="X62" t="b">
        <v>0</v>
      </c>
      <c r="Y62" t="b">
        <v>0</v>
      </c>
      <c r="Z62" t="b">
        <v>0</v>
      </c>
    </row>
    <row r="63" spans="1:30">
      <c r="B63">
        <v>2021</v>
      </c>
      <c r="C63" t="s">
        <v>291</v>
      </c>
      <c r="D63" t="s">
        <v>292</v>
      </c>
      <c r="E63" t="s">
        <v>212</v>
      </c>
      <c r="F63" t="s">
        <v>93</v>
      </c>
      <c r="I63" t="s">
        <v>113</v>
      </c>
      <c r="J63">
        <v>100</v>
      </c>
      <c r="K63" t="b">
        <v>0</v>
      </c>
      <c r="L63" t="s">
        <v>95</v>
      </c>
      <c r="M63">
        <v>0</v>
      </c>
      <c r="O63" t="s">
        <v>293</v>
      </c>
      <c r="P63" t="s">
        <v>294</v>
      </c>
      <c r="S63">
        <v>102021</v>
      </c>
      <c r="T63" t="s">
        <v>90</v>
      </c>
      <c r="V63" t="b">
        <v>1</v>
      </c>
      <c r="W63" t="b">
        <v>0</v>
      </c>
      <c r="X63" t="b">
        <v>0</v>
      </c>
      <c r="Y63" t="b">
        <v>0</v>
      </c>
      <c r="Z63" t="b">
        <v>0</v>
      </c>
    </row>
    <row r="64" spans="1:30">
      <c r="B64">
        <v>2022</v>
      </c>
      <c r="C64" t="s">
        <v>295</v>
      </c>
      <c r="D64" t="s">
        <v>296</v>
      </c>
      <c r="E64" t="s">
        <v>212</v>
      </c>
      <c r="F64" t="s">
        <v>85</v>
      </c>
      <c r="I64" t="s">
        <v>94</v>
      </c>
      <c r="J64">
        <v>100</v>
      </c>
      <c r="K64" t="b">
        <v>0</v>
      </c>
      <c r="L64" t="s">
        <v>95</v>
      </c>
      <c r="M64">
        <v>0</v>
      </c>
      <c r="O64" t="s">
        <v>297</v>
      </c>
      <c r="P64" t="s">
        <v>298</v>
      </c>
      <c r="S64">
        <v>102022</v>
      </c>
      <c r="T64" t="s">
        <v>90</v>
      </c>
      <c r="V64" t="b">
        <v>1</v>
      </c>
      <c r="W64" t="b">
        <v>0</v>
      </c>
      <c r="X64" t="b">
        <v>0</v>
      </c>
      <c r="Y64" t="b">
        <v>0</v>
      </c>
      <c r="Z64" t="b">
        <v>0</v>
      </c>
    </row>
    <row r="65" spans="1:26">
      <c r="B65">
        <v>2023</v>
      </c>
      <c r="C65" t="s">
        <v>299</v>
      </c>
      <c r="D65" t="s">
        <v>300</v>
      </c>
      <c r="E65" t="s">
        <v>212</v>
      </c>
      <c r="F65" t="s">
        <v>93</v>
      </c>
      <c r="I65" t="s">
        <v>109</v>
      </c>
      <c r="J65">
        <v>100</v>
      </c>
      <c r="K65" t="b">
        <v>0</v>
      </c>
      <c r="L65" t="s">
        <v>95</v>
      </c>
      <c r="M65">
        <v>0</v>
      </c>
      <c r="O65" t="s">
        <v>301</v>
      </c>
      <c r="P65" t="s">
        <v>302</v>
      </c>
      <c r="S65">
        <v>102023</v>
      </c>
      <c r="T65" t="s">
        <v>90</v>
      </c>
      <c r="V65" t="b">
        <v>1</v>
      </c>
      <c r="W65" t="b">
        <v>0</v>
      </c>
      <c r="X65" t="b">
        <v>0</v>
      </c>
      <c r="Y65" t="b">
        <v>0</v>
      </c>
      <c r="Z65" t="b">
        <v>0</v>
      </c>
    </row>
    <row r="66" spans="1:26">
      <c r="B66">
        <v>2024</v>
      </c>
      <c r="C66" t="s">
        <v>303</v>
      </c>
      <c r="D66" t="s">
        <v>304</v>
      </c>
      <c r="E66" t="s">
        <v>212</v>
      </c>
      <c r="F66" t="s">
        <v>93</v>
      </c>
      <c r="I66" t="s">
        <v>109</v>
      </c>
      <c r="J66">
        <v>100</v>
      </c>
      <c r="K66" t="b">
        <v>0</v>
      </c>
      <c r="L66" t="s">
        <v>95</v>
      </c>
      <c r="M66">
        <v>0</v>
      </c>
      <c r="O66" t="s">
        <v>305</v>
      </c>
      <c r="P66" t="s">
        <v>306</v>
      </c>
      <c r="S66">
        <v>102024</v>
      </c>
      <c r="T66" t="s">
        <v>90</v>
      </c>
      <c r="V66" t="b">
        <v>1</v>
      </c>
      <c r="W66" t="b">
        <v>0</v>
      </c>
      <c r="X66" t="b">
        <v>0</v>
      </c>
      <c r="Y66" t="b">
        <v>0</v>
      </c>
      <c r="Z66" t="b">
        <v>0</v>
      </c>
    </row>
    <row r="67" spans="1:26">
      <c r="B67">
        <v>2025</v>
      </c>
      <c r="C67" t="s">
        <v>307</v>
      </c>
      <c r="D67" t="s">
        <v>308</v>
      </c>
      <c r="E67" t="s">
        <v>212</v>
      </c>
      <c r="F67" t="s">
        <v>93</v>
      </c>
      <c r="I67" t="s">
        <v>100</v>
      </c>
      <c r="J67">
        <v>200</v>
      </c>
      <c r="K67" t="b">
        <v>0</v>
      </c>
      <c r="L67" t="s">
        <v>95</v>
      </c>
      <c r="M67">
        <v>0</v>
      </c>
      <c r="O67" t="s">
        <v>309</v>
      </c>
      <c r="P67" t="s">
        <v>310</v>
      </c>
      <c r="S67">
        <v>102025</v>
      </c>
      <c r="T67" t="s">
        <v>90</v>
      </c>
      <c r="V67" t="b">
        <v>1</v>
      </c>
      <c r="W67" t="b">
        <v>0</v>
      </c>
      <c r="X67" t="b">
        <v>0</v>
      </c>
      <c r="Y67" t="b">
        <v>0</v>
      </c>
      <c r="Z67" t="b">
        <v>0</v>
      </c>
    </row>
    <row r="68" spans="1:26">
      <c r="B68">
        <v>2026</v>
      </c>
      <c r="C68" t="s">
        <v>311</v>
      </c>
      <c r="D68" t="s">
        <v>312</v>
      </c>
      <c r="E68" t="s">
        <v>212</v>
      </c>
      <c r="F68" t="s">
        <v>93</v>
      </c>
      <c r="I68" t="s">
        <v>94</v>
      </c>
      <c r="J68">
        <v>100</v>
      </c>
      <c r="K68" t="b">
        <v>0</v>
      </c>
      <c r="L68" t="s">
        <v>95</v>
      </c>
      <c r="M68">
        <v>0</v>
      </c>
      <c r="O68" t="s">
        <v>313</v>
      </c>
      <c r="P68" t="s">
        <v>314</v>
      </c>
      <c r="S68">
        <v>102026</v>
      </c>
      <c r="T68" t="s">
        <v>90</v>
      </c>
      <c r="V68" t="b">
        <v>1</v>
      </c>
      <c r="W68" t="b">
        <v>0</v>
      </c>
      <c r="X68" t="b">
        <v>0</v>
      </c>
      <c r="Y68" t="b">
        <v>0</v>
      </c>
      <c r="Z68" t="b">
        <v>0</v>
      </c>
    </row>
    <row r="69" spans="1:26">
      <c r="B69">
        <v>2027</v>
      </c>
      <c r="C69" t="s">
        <v>315</v>
      </c>
      <c r="D69" t="s">
        <v>316</v>
      </c>
      <c r="E69" t="s">
        <v>212</v>
      </c>
      <c r="F69" t="s">
        <v>93</v>
      </c>
      <c r="I69" t="s">
        <v>94</v>
      </c>
      <c r="J69">
        <v>100</v>
      </c>
      <c r="K69" t="b">
        <v>0</v>
      </c>
      <c r="L69" t="s">
        <v>95</v>
      </c>
      <c r="M69">
        <v>0</v>
      </c>
      <c r="O69" t="s">
        <v>317</v>
      </c>
      <c r="P69" t="s">
        <v>318</v>
      </c>
      <c r="S69">
        <v>102027</v>
      </c>
      <c r="T69" t="s">
        <v>90</v>
      </c>
      <c r="V69" t="b">
        <v>1</v>
      </c>
      <c r="W69" t="b">
        <v>0</v>
      </c>
      <c r="X69" t="b">
        <v>0</v>
      </c>
      <c r="Y69" t="b">
        <v>0</v>
      </c>
      <c r="Z69" t="b">
        <v>0</v>
      </c>
    </row>
    <row r="70" spans="1:26">
      <c r="B70">
        <v>2028</v>
      </c>
      <c r="C70" t="s">
        <v>319</v>
      </c>
      <c r="D70" t="s">
        <v>320</v>
      </c>
      <c r="E70" t="s">
        <v>212</v>
      </c>
      <c r="F70" t="s">
        <v>93</v>
      </c>
      <c r="I70" t="s">
        <v>113</v>
      </c>
      <c r="J70">
        <v>100</v>
      </c>
      <c r="K70" t="b">
        <v>0</v>
      </c>
      <c r="L70" t="s">
        <v>95</v>
      </c>
      <c r="M70">
        <v>0</v>
      </c>
      <c r="O70" t="s">
        <v>321</v>
      </c>
      <c r="P70" t="s">
        <v>322</v>
      </c>
      <c r="S70">
        <v>102028</v>
      </c>
      <c r="T70" t="s">
        <v>90</v>
      </c>
      <c r="V70" t="b">
        <v>1</v>
      </c>
      <c r="W70" t="b">
        <v>0</v>
      </c>
      <c r="X70" t="b">
        <v>0</v>
      </c>
      <c r="Y70" t="b">
        <v>0</v>
      </c>
      <c r="Z70" t="b">
        <v>0</v>
      </c>
    </row>
    <row r="71" spans="1:26">
      <c r="B71">
        <v>2029</v>
      </c>
      <c r="C71" t="s">
        <v>323</v>
      </c>
      <c r="D71" t="s">
        <v>324</v>
      </c>
      <c r="E71" t="s">
        <v>212</v>
      </c>
      <c r="F71" t="s">
        <v>85</v>
      </c>
      <c r="I71" t="s">
        <v>94</v>
      </c>
      <c r="J71">
        <v>100</v>
      </c>
      <c r="K71" t="b">
        <v>0</v>
      </c>
      <c r="L71" t="s">
        <v>95</v>
      </c>
      <c r="M71">
        <v>0</v>
      </c>
      <c r="O71" t="s">
        <v>325</v>
      </c>
      <c r="P71" t="s">
        <v>326</v>
      </c>
      <c r="S71">
        <v>102029</v>
      </c>
      <c r="T71" t="s">
        <v>90</v>
      </c>
      <c r="V71" t="b">
        <v>1</v>
      </c>
      <c r="W71" t="b">
        <v>0</v>
      </c>
      <c r="X71" t="b">
        <v>0</v>
      </c>
      <c r="Y71" t="b">
        <v>0</v>
      </c>
      <c r="Z71" t="b">
        <v>0</v>
      </c>
    </row>
    <row r="72" spans="1:26">
      <c r="B72">
        <v>2030</v>
      </c>
      <c r="C72" t="s">
        <v>327</v>
      </c>
      <c r="D72" t="s">
        <v>328</v>
      </c>
      <c r="E72" t="s">
        <v>212</v>
      </c>
      <c r="F72" t="s">
        <v>93</v>
      </c>
      <c r="I72" t="s">
        <v>113</v>
      </c>
      <c r="J72">
        <v>100</v>
      </c>
      <c r="K72" t="b">
        <v>0</v>
      </c>
      <c r="L72" t="s">
        <v>95</v>
      </c>
      <c r="M72">
        <v>0</v>
      </c>
      <c r="O72" t="s">
        <v>329</v>
      </c>
      <c r="P72" t="s">
        <v>330</v>
      </c>
      <c r="S72">
        <v>102030</v>
      </c>
      <c r="T72" t="s">
        <v>90</v>
      </c>
      <c r="V72" t="b">
        <v>1</v>
      </c>
      <c r="W72" t="b">
        <v>0</v>
      </c>
      <c r="X72" t="b">
        <v>0</v>
      </c>
      <c r="Y72" t="b">
        <v>0</v>
      </c>
      <c r="Z72" t="b">
        <v>0</v>
      </c>
    </row>
    <row r="73" spans="1:26">
      <c r="B73">
        <v>2031</v>
      </c>
      <c r="C73" t="s">
        <v>331</v>
      </c>
      <c r="D73" t="s">
        <v>332</v>
      </c>
      <c r="E73" t="s">
        <v>212</v>
      </c>
      <c r="F73" t="s">
        <v>93</v>
      </c>
      <c r="I73" t="s">
        <v>94</v>
      </c>
      <c r="J73">
        <v>100</v>
      </c>
      <c r="K73" t="b">
        <v>0</v>
      </c>
      <c r="L73" t="s">
        <v>95</v>
      </c>
      <c r="M73">
        <v>-1</v>
      </c>
      <c r="O73" t="s">
        <v>333</v>
      </c>
      <c r="P73" t="s">
        <v>334</v>
      </c>
      <c r="S73">
        <v>102031</v>
      </c>
      <c r="T73" t="s">
        <v>90</v>
      </c>
      <c r="V73" t="b">
        <v>1</v>
      </c>
      <c r="W73" t="b">
        <v>0</v>
      </c>
      <c r="X73" t="b">
        <v>0</v>
      </c>
      <c r="Y73" t="b">
        <v>0</v>
      </c>
      <c r="Z73" t="b">
        <v>0</v>
      </c>
    </row>
    <row r="74" spans="1:26">
      <c r="B74">
        <v>2032</v>
      </c>
      <c r="C74" t="s">
        <v>335</v>
      </c>
      <c r="D74" t="s">
        <v>336</v>
      </c>
      <c r="E74" t="s">
        <v>212</v>
      </c>
      <c r="F74" t="s">
        <v>85</v>
      </c>
      <c r="I74" t="s">
        <v>109</v>
      </c>
      <c r="J74">
        <v>100</v>
      </c>
      <c r="K74" t="b">
        <v>0</v>
      </c>
      <c r="L74" t="s">
        <v>95</v>
      </c>
      <c r="M74">
        <v>-1</v>
      </c>
      <c r="O74" t="s">
        <v>337</v>
      </c>
      <c r="P74" t="s">
        <v>338</v>
      </c>
      <c r="S74">
        <v>102032</v>
      </c>
      <c r="T74" t="s">
        <v>90</v>
      </c>
      <c r="V74" t="b">
        <v>1</v>
      </c>
      <c r="W74" t="b">
        <v>0</v>
      </c>
      <c r="X74" t="b">
        <v>0</v>
      </c>
      <c r="Y74" t="b">
        <v>0</v>
      </c>
      <c r="Z74" t="b">
        <v>0</v>
      </c>
    </row>
    <row r="75" spans="1:26">
      <c r="B75">
        <v>2033</v>
      </c>
      <c r="C75" t="s">
        <v>339</v>
      </c>
      <c r="D75" t="s">
        <v>340</v>
      </c>
      <c r="E75" t="s">
        <v>212</v>
      </c>
      <c r="F75" t="s">
        <v>93</v>
      </c>
      <c r="I75" t="s">
        <v>113</v>
      </c>
      <c r="J75">
        <v>100</v>
      </c>
      <c r="K75" t="b">
        <v>0</v>
      </c>
      <c r="L75" t="s">
        <v>95</v>
      </c>
      <c r="M75">
        <v>-1</v>
      </c>
      <c r="O75" t="s">
        <v>341</v>
      </c>
      <c r="P75" t="s">
        <v>342</v>
      </c>
      <c r="S75">
        <v>102033</v>
      </c>
      <c r="T75" t="s">
        <v>90</v>
      </c>
      <c r="V75" t="b">
        <v>1</v>
      </c>
      <c r="W75" t="b">
        <v>0</v>
      </c>
      <c r="X75" t="b">
        <v>0</v>
      </c>
      <c r="Y75" t="b">
        <v>0</v>
      </c>
      <c r="Z75" t="b">
        <v>0</v>
      </c>
    </row>
    <row r="76" customFormat="1" spans="1:26">
      <c r="B76">
        <v>2034</v>
      </c>
      <c r="C76" t="s">
        <v>343</v>
      </c>
      <c r="D76" t="s">
        <v>344</v>
      </c>
      <c r="E76" t="s">
        <v>212</v>
      </c>
      <c r="F76" t="s">
        <v>85</v>
      </c>
      <c r="I76" t="s">
        <v>345</v>
      </c>
      <c r="J76">
        <v>100</v>
      </c>
      <c r="K76" t="b">
        <v>0</v>
      </c>
      <c r="L76" t="s">
        <v>346</v>
      </c>
      <c r="M76">
        <v>0</v>
      </c>
      <c r="N76" s="30"/>
      <c r="O76" t="s">
        <v>347</v>
      </c>
      <c r="P76" t="s">
        <v>348</v>
      </c>
      <c r="R76" s="30"/>
      <c r="S76">
        <v>102034</v>
      </c>
      <c r="T76" t="s">
        <v>90</v>
      </c>
      <c r="V76" t="b">
        <v>1</v>
      </c>
      <c r="W76" t="b">
        <v>0</v>
      </c>
      <c r="X76" t="b">
        <v>0</v>
      </c>
      <c r="Y76" t="b">
        <v>0</v>
      </c>
      <c r="Z76" t="b">
        <v>0</v>
      </c>
    </row>
    <row r="77" s="9" customFormat="1" spans="1:26">
      <c r="A77" s="9" t="s">
        <v>39</v>
      </c>
      <c r="B77" s="9" t="s">
        <v>349</v>
      </c>
      <c r="C77" s="9" t="s">
        <v>350</v>
      </c>
      <c r="D77" s="9" t="s">
        <v>351</v>
      </c>
      <c r="E77" s="9" t="s">
        <v>352</v>
      </c>
      <c r="F77" s="9" t="s">
        <v>93</v>
      </c>
      <c r="I77" s="9" t="s">
        <v>100</v>
      </c>
      <c r="J77" s="9">
        <v>0</v>
      </c>
      <c r="K77" s="9" t="b">
        <v>1</v>
      </c>
      <c r="L77" s="9" t="s">
        <v>353</v>
      </c>
      <c r="M77" s="9" t="s">
        <v>209</v>
      </c>
      <c r="O77" s="9" t="s">
        <v>354</v>
      </c>
      <c r="P77" s="9" t="s">
        <v>355</v>
      </c>
      <c r="S77" s="9">
        <v>103001</v>
      </c>
      <c r="T77" s="9" t="s">
        <v>90</v>
      </c>
      <c r="V77" s="9" t="b">
        <v>1</v>
      </c>
      <c r="W77" s="9" t="b">
        <v>0</v>
      </c>
      <c r="X77" s="9" t="b">
        <v>0</v>
      </c>
      <c r="Y77" s="9" t="b">
        <v>0</v>
      </c>
      <c r="Z77" s="9" t="b">
        <v>1</v>
      </c>
    </row>
    <row r="78" s="29" customFormat="1" spans="1:26">
      <c r="B78" s="29">
        <v>4001</v>
      </c>
      <c r="C78" s="29" t="s">
        <v>356</v>
      </c>
      <c r="D78" s="29" t="s">
        <v>357</v>
      </c>
      <c r="E78" s="29" t="s">
        <v>358</v>
      </c>
      <c r="F78" s="29" t="s">
        <v>85</v>
      </c>
      <c r="G78" s="29" t="s">
        <v>359</v>
      </c>
      <c r="I78" s="29" t="s">
        <v>86</v>
      </c>
      <c r="J78" s="29">
        <v>0</v>
      </c>
      <c r="K78" s="29" t="b">
        <v>1</v>
      </c>
      <c r="L78" s="29" t="s">
        <v>87</v>
      </c>
      <c r="M78" s="29">
        <v>0</v>
      </c>
      <c r="O78" s="29" t="s">
        <v>360</v>
      </c>
      <c r="P78" s="29" t="s">
        <v>361</v>
      </c>
      <c r="S78" s="29">
        <v>104001</v>
      </c>
      <c r="T78" s="29" t="s">
        <v>90</v>
      </c>
      <c r="U78" s="29"/>
      <c r="V78" s="29" t="b">
        <v>1</v>
      </c>
      <c r="W78" s="29" t="b">
        <v>0</v>
      </c>
      <c r="X78" s="29" t="b">
        <v>0</v>
      </c>
      <c r="Y78" s="29" t="b">
        <v>0</v>
      </c>
      <c r="Z78" s="29" t="b">
        <v>0</v>
      </c>
    </row>
    <row r="79" s="29" customFormat="1" spans="1:26">
      <c r="B79" s="29">
        <v>4002</v>
      </c>
      <c r="C79" s="29" t="s">
        <v>362</v>
      </c>
      <c r="D79" s="29" t="s">
        <v>363</v>
      </c>
      <c r="E79" s="29" t="s">
        <v>358</v>
      </c>
      <c r="F79" s="29" t="s">
        <v>85</v>
      </c>
      <c r="G79" s="29" t="s">
        <v>359</v>
      </c>
      <c r="I79" s="29" t="s">
        <v>86</v>
      </c>
      <c r="J79" s="29">
        <v>0</v>
      </c>
      <c r="K79" s="29" t="b">
        <v>1</v>
      </c>
      <c r="L79" s="29" t="s">
        <v>87</v>
      </c>
      <c r="M79" s="29">
        <v>0</v>
      </c>
      <c r="O79" s="29" t="s">
        <v>364</v>
      </c>
      <c r="P79" s="29" t="s">
        <v>365</v>
      </c>
      <c r="S79" s="29">
        <v>104002</v>
      </c>
      <c r="T79" s="29" t="s">
        <v>90</v>
      </c>
      <c r="U79" s="29"/>
      <c r="V79" s="29" t="b">
        <v>1</v>
      </c>
      <c r="W79" s="29" t="b">
        <v>0</v>
      </c>
      <c r="X79" s="29" t="b">
        <v>0</v>
      </c>
      <c r="Y79" s="29" t="b">
        <v>0</v>
      </c>
      <c r="Z79" s="29" t="b">
        <v>0</v>
      </c>
    </row>
    <row r="80" s="29" customFormat="1" spans="1:26">
      <c r="B80" s="29">
        <v>4003</v>
      </c>
      <c r="C80" s="29" t="s">
        <v>366</v>
      </c>
      <c r="D80" s="29" t="s">
        <v>367</v>
      </c>
      <c r="E80" s="29" t="s">
        <v>358</v>
      </c>
      <c r="F80" s="29" t="s">
        <v>85</v>
      </c>
      <c r="G80" s="29" t="s">
        <v>359</v>
      </c>
      <c r="I80" s="29" t="s">
        <v>86</v>
      </c>
      <c r="J80" s="29">
        <v>0</v>
      </c>
      <c r="K80" s="29" t="b">
        <v>1</v>
      </c>
      <c r="L80" s="29" t="s">
        <v>87</v>
      </c>
      <c r="M80" s="29">
        <v>0</v>
      </c>
      <c r="O80" s="29" t="s">
        <v>368</v>
      </c>
      <c r="P80" s="29" t="s">
        <v>369</v>
      </c>
      <c r="S80" s="29">
        <v>104003</v>
      </c>
      <c r="T80" s="29" t="s">
        <v>90</v>
      </c>
      <c r="U80" s="29"/>
      <c r="V80" s="29" t="b">
        <v>1</v>
      </c>
      <c r="W80" s="29" t="b">
        <v>0</v>
      </c>
      <c r="X80" s="29" t="b">
        <v>0</v>
      </c>
      <c r="Y80" s="29" t="b">
        <v>0</v>
      </c>
      <c r="Z80" s="29" t="b">
        <v>0</v>
      </c>
    </row>
    <row r="81" s="29" customFormat="1" spans="2:26">
      <c r="B81" s="29">
        <v>4004</v>
      </c>
      <c r="C81" s="29" t="s">
        <v>370</v>
      </c>
      <c r="D81" s="29" t="s">
        <v>371</v>
      </c>
      <c r="E81" s="29" t="s">
        <v>358</v>
      </c>
      <c r="F81" s="29" t="s">
        <v>85</v>
      </c>
      <c r="G81" s="29" t="s">
        <v>359</v>
      </c>
      <c r="I81" s="29" t="s">
        <v>86</v>
      </c>
      <c r="J81" s="29">
        <v>0</v>
      </c>
      <c r="K81" s="29" t="b">
        <v>1</v>
      </c>
      <c r="L81" s="29" t="s">
        <v>87</v>
      </c>
      <c r="M81" s="29">
        <v>0</v>
      </c>
      <c r="O81" s="29" t="s">
        <v>372</v>
      </c>
      <c r="P81" s="29" t="s">
        <v>373</v>
      </c>
      <c r="S81" s="29">
        <v>104004</v>
      </c>
      <c r="T81" s="29" t="s">
        <v>90</v>
      </c>
      <c r="U81" s="29"/>
      <c r="V81" s="29" t="b">
        <v>1</v>
      </c>
      <c r="W81" s="29" t="b">
        <v>0</v>
      </c>
      <c r="X81" s="29" t="b">
        <v>0</v>
      </c>
      <c r="Y81" s="29" t="b">
        <v>0</v>
      </c>
      <c r="Z81" s="29" t="b">
        <v>0</v>
      </c>
    </row>
    <row r="82" s="29" customFormat="1" spans="2:26">
      <c r="B82" s="29">
        <v>4005</v>
      </c>
      <c r="C82" s="29" t="s">
        <v>374</v>
      </c>
      <c r="D82" s="29" t="s">
        <v>375</v>
      </c>
      <c r="E82" s="29" t="s">
        <v>358</v>
      </c>
      <c r="F82" s="29" t="s">
        <v>85</v>
      </c>
      <c r="G82" s="29" t="s">
        <v>359</v>
      </c>
      <c r="I82" s="29" t="s">
        <v>86</v>
      </c>
      <c r="J82" s="29">
        <v>0</v>
      </c>
      <c r="K82" s="29" t="b">
        <v>1</v>
      </c>
      <c r="L82" s="29" t="s">
        <v>87</v>
      </c>
      <c r="M82" s="29">
        <v>0</v>
      </c>
      <c r="O82" s="29" t="s">
        <v>376</v>
      </c>
      <c r="P82" s="29" t="s">
        <v>377</v>
      </c>
      <c r="S82" s="29">
        <v>104005</v>
      </c>
      <c r="T82" s="29" t="s">
        <v>90</v>
      </c>
      <c r="U82" s="29"/>
      <c r="V82" s="29" t="b">
        <v>1</v>
      </c>
      <c r="W82" s="29" t="b">
        <v>0</v>
      </c>
      <c r="X82" s="29" t="b">
        <v>0</v>
      </c>
      <c r="Y82" s="29" t="b">
        <v>0</v>
      </c>
      <c r="Z82" s="29" t="b">
        <v>0</v>
      </c>
    </row>
    <row r="83" s="29" customFormat="1" spans="2:26">
      <c r="B83" s="29">
        <v>4006</v>
      </c>
      <c r="C83" s="29" t="s">
        <v>378</v>
      </c>
      <c r="D83" s="29" t="s">
        <v>379</v>
      </c>
      <c r="E83" s="29" t="s">
        <v>358</v>
      </c>
      <c r="F83" s="29" t="s">
        <v>85</v>
      </c>
      <c r="G83" s="29" t="s">
        <v>359</v>
      </c>
      <c r="I83" s="29" t="s">
        <v>86</v>
      </c>
      <c r="J83" s="29">
        <v>0</v>
      </c>
      <c r="K83" s="29" t="b">
        <v>1</v>
      </c>
      <c r="L83" s="29" t="s">
        <v>87</v>
      </c>
      <c r="M83" s="29">
        <v>0</v>
      </c>
      <c r="O83" s="29" t="s">
        <v>380</v>
      </c>
      <c r="P83" s="29" t="s">
        <v>381</v>
      </c>
      <c r="S83" s="29">
        <v>104006</v>
      </c>
      <c r="T83" s="29" t="s">
        <v>90</v>
      </c>
      <c r="U83" s="29"/>
      <c r="V83" s="29" t="b">
        <v>1</v>
      </c>
      <c r="W83" s="29" t="b">
        <v>0</v>
      </c>
      <c r="X83" s="29" t="b">
        <v>0</v>
      </c>
      <c r="Y83" s="29" t="b">
        <v>0</v>
      </c>
      <c r="Z83" s="29" t="b">
        <v>0</v>
      </c>
    </row>
    <row r="84" spans="2:26">
      <c r="B84">
        <v>5001</v>
      </c>
      <c r="C84" t="s">
        <v>382</v>
      </c>
      <c r="D84" t="s">
        <v>383</v>
      </c>
      <c r="E84" t="s">
        <v>384</v>
      </c>
      <c r="F84" t="s">
        <v>93</v>
      </c>
      <c r="I84" t="s">
        <v>100</v>
      </c>
      <c r="J84">
        <v>300</v>
      </c>
      <c r="K84" t="b">
        <v>0</v>
      </c>
      <c r="L84" t="s">
        <v>95</v>
      </c>
      <c r="M84">
        <v>0</v>
      </c>
      <c r="O84" t="s">
        <v>385</v>
      </c>
      <c r="P84" t="s">
        <v>386</v>
      </c>
      <c r="S84">
        <v>105001</v>
      </c>
      <c r="T84" t="s">
        <v>90</v>
      </c>
      <c r="V84" t="b">
        <v>1</v>
      </c>
      <c r="W84" t="b">
        <v>0</v>
      </c>
      <c r="X84" t="b">
        <v>0</v>
      </c>
      <c r="Y84" t="b">
        <v>0</v>
      </c>
      <c r="Z84" t="b">
        <v>0</v>
      </c>
    </row>
    <row r="85" spans="2:26">
      <c r="B85">
        <v>5002</v>
      </c>
      <c r="C85" t="s">
        <v>387</v>
      </c>
      <c r="D85" t="s">
        <v>388</v>
      </c>
      <c r="E85" t="s">
        <v>384</v>
      </c>
      <c r="F85" t="s">
        <v>93</v>
      </c>
      <c r="I85" t="s">
        <v>109</v>
      </c>
      <c r="J85">
        <v>300</v>
      </c>
      <c r="K85" t="b">
        <v>0</v>
      </c>
      <c r="L85" t="s">
        <v>95</v>
      </c>
      <c r="M85">
        <v>0</v>
      </c>
      <c r="O85" t="s">
        <v>389</v>
      </c>
      <c r="P85" t="s">
        <v>390</v>
      </c>
      <c r="S85">
        <v>105002</v>
      </c>
      <c r="T85" t="s">
        <v>90</v>
      </c>
      <c r="V85" t="b">
        <v>1</v>
      </c>
      <c r="W85" t="b">
        <v>0</v>
      </c>
      <c r="X85" t="b">
        <v>0</v>
      </c>
      <c r="Y85" t="b">
        <v>0</v>
      </c>
      <c r="Z85" t="b">
        <v>0</v>
      </c>
    </row>
    <row r="86" spans="2:26">
      <c r="B86">
        <v>5003</v>
      </c>
      <c r="C86" t="s">
        <v>391</v>
      </c>
      <c r="D86" t="s">
        <v>392</v>
      </c>
      <c r="E86" t="s">
        <v>384</v>
      </c>
      <c r="F86" t="s">
        <v>93</v>
      </c>
      <c r="I86" t="s">
        <v>94</v>
      </c>
      <c r="J86">
        <v>300</v>
      </c>
      <c r="K86" t="b">
        <v>0</v>
      </c>
      <c r="L86" t="s">
        <v>95</v>
      </c>
      <c r="M86">
        <v>0</v>
      </c>
      <c r="O86" t="s">
        <v>393</v>
      </c>
      <c r="P86" t="s">
        <v>394</v>
      </c>
      <c r="S86">
        <v>105003</v>
      </c>
      <c r="T86" t="s">
        <v>90</v>
      </c>
      <c r="V86" t="b">
        <v>1</v>
      </c>
      <c r="W86" t="b">
        <v>0</v>
      </c>
      <c r="X86" t="b">
        <v>0</v>
      </c>
      <c r="Y86" t="b">
        <v>0</v>
      </c>
      <c r="Z86" t="b">
        <v>0</v>
      </c>
    </row>
    <row r="87" spans="2:26">
      <c r="B87">
        <v>5004</v>
      </c>
      <c r="C87" t="s">
        <v>395</v>
      </c>
      <c r="D87" t="s">
        <v>396</v>
      </c>
      <c r="E87" t="s">
        <v>384</v>
      </c>
      <c r="F87" t="s">
        <v>85</v>
      </c>
      <c r="I87" t="s">
        <v>109</v>
      </c>
      <c r="J87">
        <v>300</v>
      </c>
      <c r="K87" t="b">
        <v>0</v>
      </c>
      <c r="L87" t="s">
        <v>95</v>
      </c>
      <c r="M87">
        <v>0</v>
      </c>
      <c r="O87" t="s">
        <v>397</v>
      </c>
      <c r="P87" t="s">
        <v>398</v>
      </c>
      <c r="S87">
        <v>105004</v>
      </c>
      <c r="T87" t="s">
        <v>90</v>
      </c>
      <c r="V87" t="b">
        <v>1</v>
      </c>
      <c r="W87" t="b">
        <v>0</v>
      </c>
      <c r="X87" t="b">
        <v>0</v>
      </c>
      <c r="Y87" t="b">
        <v>0</v>
      </c>
      <c r="Z87" t="b">
        <v>0</v>
      </c>
    </row>
    <row r="88" spans="2:26">
      <c r="B88">
        <v>5005</v>
      </c>
      <c r="C88" t="s">
        <v>399</v>
      </c>
      <c r="D88" t="s">
        <v>400</v>
      </c>
      <c r="E88" t="s">
        <v>384</v>
      </c>
      <c r="F88" t="s">
        <v>93</v>
      </c>
      <c r="I88" t="s">
        <v>109</v>
      </c>
      <c r="J88">
        <v>300</v>
      </c>
      <c r="K88" t="b">
        <v>0</v>
      </c>
      <c r="L88" t="s">
        <v>95</v>
      </c>
      <c r="M88">
        <v>0</v>
      </c>
      <c r="O88" t="s">
        <v>401</v>
      </c>
      <c r="P88" t="s">
        <v>402</v>
      </c>
      <c r="S88">
        <v>105005</v>
      </c>
      <c r="T88" t="s">
        <v>90</v>
      </c>
      <c r="V88" t="b">
        <v>1</v>
      </c>
      <c r="W88" t="b">
        <v>0</v>
      </c>
      <c r="X88" t="b">
        <v>0</v>
      </c>
      <c r="Y88" t="b">
        <v>0</v>
      </c>
      <c r="Z88" t="b">
        <v>0</v>
      </c>
    </row>
    <row r="89" spans="2:26">
      <c r="B89">
        <v>5006</v>
      </c>
      <c r="C89" t="s">
        <v>403</v>
      </c>
      <c r="D89" t="s">
        <v>404</v>
      </c>
      <c r="E89" t="s">
        <v>384</v>
      </c>
      <c r="F89" t="s">
        <v>93</v>
      </c>
      <c r="I89" t="s">
        <v>100</v>
      </c>
      <c r="J89">
        <v>300</v>
      </c>
      <c r="K89" t="b">
        <v>0</v>
      </c>
      <c r="L89" t="s">
        <v>95</v>
      </c>
      <c r="M89">
        <v>0</v>
      </c>
      <c r="O89" t="s">
        <v>405</v>
      </c>
      <c r="P89" t="s">
        <v>406</v>
      </c>
      <c r="S89">
        <v>105006</v>
      </c>
      <c r="T89" t="s">
        <v>90</v>
      </c>
      <c r="V89" t="b">
        <v>1</v>
      </c>
      <c r="W89" t="b">
        <v>0</v>
      </c>
      <c r="X89" t="b">
        <v>0</v>
      </c>
      <c r="Y89" t="b">
        <v>0</v>
      </c>
      <c r="Z89" t="b">
        <v>0</v>
      </c>
    </row>
    <row r="90" spans="2:26">
      <c r="B90">
        <v>5007</v>
      </c>
      <c r="C90" t="s">
        <v>407</v>
      </c>
      <c r="D90" t="s">
        <v>408</v>
      </c>
      <c r="E90" t="s">
        <v>384</v>
      </c>
      <c r="F90" t="s">
        <v>93</v>
      </c>
      <c r="I90" t="s">
        <v>94</v>
      </c>
      <c r="J90">
        <v>300</v>
      </c>
      <c r="K90" t="b">
        <v>0</v>
      </c>
      <c r="L90" t="s">
        <v>95</v>
      </c>
      <c r="M90">
        <v>0</v>
      </c>
      <c r="O90" t="s">
        <v>409</v>
      </c>
      <c r="P90" t="s">
        <v>410</v>
      </c>
      <c r="S90">
        <v>105007</v>
      </c>
      <c r="T90" t="s">
        <v>90</v>
      </c>
      <c r="V90" t="b">
        <v>1</v>
      </c>
      <c r="W90" t="b">
        <v>0</v>
      </c>
      <c r="X90" t="b">
        <v>0</v>
      </c>
      <c r="Y90" t="b">
        <v>0</v>
      </c>
      <c r="Z90" t="b">
        <v>0</v>
      </c>
    </row>
    <row r="91" spans="2:26">
      <c r="B91">
        <v>5008</v>
      </c>
      <c r="C91" t="s">
        <v>411</v>
      </c>
      <c r="D91" t="s">
        <v>412</v>
      </c>
      <c r="E91" t="s">
        <v>384</v>
      </c>
      <c r="F91" t="s">
        <v>85</v>
      </c>
      <c r="I91" t="s">
        <v>100</v>
      </c>
      <c r="J91">
        <v>300</v>
      </c>
      <c r="K91" t="b">
        <v>0</v>
      </c>
      <c r="L91" t="s">
        <v>95</v>
      </c>
      <c r="M91">
        <v>0</v>
      </c>
      <c r="O91" t="s">
        <v>413</v>
      </c>
      <c r="P91" t="s">
        <v>414</v>
      </c>
      <c r="S91">
        <v>105008</v>
      </c>
      <c r="T91" t="s">
        <v>90</v>
      </c>
      <c r="V91" t="b">
        <v>1</v>
      </c>
      <c r="W91" t="b">
        <v>0</v>
      </c>
      <c r="X91" t="b">
        <v>0</v>
      </c>
      <c r="Y91" t="b">
        <v>0</v>
      </c>
      <c r="Z91" t="b">
        <v>0</v>
      </c>
    </row>
    <row r="92" s="29" customFormat="1" spans="2:26">
      <c r="B92" s="29">
        <v>6001</v>
      </c>
      <c r="C92" s="29" t="s">
        <v>415</v>
      </c>
      <c r="D92" s="29" t="s">
        <v>416</v>
      </c>
      <c r="E92" s="29" t="s">
        <v>417</v>
      </c>
      <c r="F92" s="29" t="s">
        <v>85</v>
      </c>
      <c r="G92" s="29" t="s">
        <v>209</v>
      </c>
      <c r="H92" s="29" t="s">
        <v>209</v>
      </c>
      <c r="I92" s="29" t="s">
        <v>86</v>
      </c>
      <c r="J92" s="29">
        <v>300</v>
      </c>
      <c r="K92" s="29" t="b">
        <v>0</v>
      </c>
      <c r="L92" s="29" t="s">
        <v>87</v>
      </c>
      <c r="M92" s="29">
        <v>0</v>
      </c>
      <c r="N92" s="29" t="s">
        <v>209</v>
      </c>
      <c r="O92" s="29" t="s">
        <v>418</v>
      </c>
      <c r="P92" s="29" t="s">
        <v>419</v>
      </c>
      <c r="S92" s="29">
        <v>106001</v>
      </c>
      <c r="T92" s="29" t="s">
        <v>90</v>
      </c>
      <c r="U92" s="29"/>
      <c r="V92" s="29" t="b">
        <v>1</v>
      </c>
      <c r="W92" s="29" t="b">
        <v>0</v>
      </c>
      <c r="X92" s="29" t="b">
        <v>0</v>
      </c>
      <c r="Y92" s="29" t="b">
        <v>0</v>
      </c>
      <c r="Z92" s="29" t="b">
        <v>0</v>
      </c>
    </row>
    <row r="93" spans="2:26">
      <c r="B93">
        <v>6002</v>
      </c>
      <c r="C93" t="s">
        <v>420</v>
      </c>
      <c r="D93" t="s">
        <v>421</v>
      </c>
      <c r="E93" t="s">
        <v>417</v>
      </c>
      <c r="F93" t="s">
        <v>93</v>
      </c>
      <c r="G93" t="s">
        <v>209</v>
      </c>
      <c r="H93" t="s">
        <v>209</v>
      </c>
      <c r="I93" t="s">
        <v>109</v>
      </c>
      <c r="J93">
        <v>300</v>
      </c>
      <c r="K93" t="b">
        <v>0</v>
      </c>
      <c r="L93" t="s">
        <v>95</v>
      </c>
      <c r="M93">
        <v>0</v>
      </c>
      <c r="N93" s="30" t="s">
        <v>209</v>
      </c>
      <c r="O93" t="s">
        <v>422</v>
      </c>
      <c r="P93" t="s">
        <v>423</v>
      </c>
      <c r="S93">
        <v>106002</v>
      </c>
      <c r="T93" t="s">
        <v>90</v>
      </c>
      <c r="V93" t="b">
        <v>1</v>
      </c>
      <c r="W93" t="b">
        <v>0</v>
      </c>
      <c r="X93" t="b">
        <v>0</v>
      </c>
      <c r="Y93" t="b">
        <v>0</v>
      </c>
      <c r="Z93" t="b">
        <v>0</v>
      </c>
    </row>
    <row r="94" spans="2:26">
      <c r="B94">
        <v>6003</v>
      </c>
      <c r="C94" t="s">
        <v>424</v>
      </c>
      <c r="D94" t="s">
        <v>425</v>
      </c>
      <c r="E94" t="s">
        <v>417</v>
      </c>
      <c r="F94" t="s">
        <v>93</v>
      </c>
      <c r="G94" t="s">
        <v>209</v>
      </c>
      <c r="H94" t="s">
        <v>209</v>
      </c>
      <c r="I94" t="s">
        <v>109</v>
      </c>
      <c r="J94">
        <v>300</v>
      </c>
      <c r="K94" t="b">
        <v>0</v>
      </c>
      <c r="L94" t="s">
        <v>95</v>
      </c>
      <c r="M94">
        <v>0</v>
      </c>
      <c r="N94" s="30" t="s">
        <v>209</v>
      </c>
      <c r="O94" t="s">
        <v>426</v>
      </c>
      <c r="P94" t="s">
        <v>427</v>
      </c>
      <c r="S94">
        <v>106003</v>
      </c>
      <c r="T94" t="s">
        <v>90</v>
      </c>
      <c r="V94" t="b">
        <v>1</v>
      </c>
      <c r="W94" t="b">
        <v>0</v>
      </c>
      <c r="X94" t="b">
        <v>0</v>
      </c>
      <c r="Y94" t="b">
        <v>0</v>
      </c>
      <c r="Z94" t="b">
        <v>0</v>
      </c>
    </row>
    <row r="95" spans="2:26">
      <c r="B95">
        <v>6004</v>
      </c>
      <c r="C95" t="s">
        <v>428</v>
      </c>
      <c r="D95" t="s">
        <v>429</v>
      </c>
      <c r="E95" t="s">
        <v>417</v>
      </c>
      <c r="F95" t="s">
        <v>93</v>
      </c>
      <c r="G95" t="s">
        <v>209</v>
      </c>
      <c r="H95" t="s">
        <v>209</v>
      </c>
      <c r="I95" t="s">
        <v>94</v>
      </c>
      <c r="J95">
        <v>300</v>
      </c>
      <c r="K95" t="b">
        <v>0</v>
      </c>
      <c r="L95" t="s">
        <v>95</v>
      </c>
      <c r="M95">
        <v>0</v>
      </c>
      <c r="N95" s="30" t="s">
        <v>209</v>
      </c>
      <c r="O95" t="s">
        <v>430</v>
      </c>
      <c r="P95" t="s">
        <v>431</v>
      </c>
      <c r="S95">
        <v>106004</v>
      </c>
      <c r="T95" t="s">
        <v>90</v>
      </c>
      <c r="V95" t="b">
        <v>1</v>
      </c>
      <c r="W95" t="b">
        <v>0</v>
      </c>
      <c r="X95" t="b">
        <v>0</v>
      </c>
      <c r="Y95" t="b">
        <v>0</v>
      </c>
      <c r="Z95" t="b">
        <v>0</v>
      </c>
    </row>
    <row r="96" spans="2:26">
      <c r="B96">
        <v>6005</v>
      </c>
      <c r="C96" t="s">
        <v>432</v>
      </c>
      <c r="D96" t="s">
        <v>433</v>
      </c>
      <c r="E96" t="s">
        <v>417</v>
      </c>
      <c r="F96" t="s">
        <v>93</v>
      </c>
      <c r="G96" t="s">
        <v>209</v>
      </c>
      <c r="H96" t="s">
        <v>209</v>
      </c>
      <c r="I96" t="s">
        <v>94</v>
      </c>
      <c r="J96">
        <v>300</v>
      </c>
      <c r="K96" t="b">
        <v>0</v>
      </c>
      <c r="L96" t="s">
        <v>95</v>
      </c>
      <c r="M96">
        <v>0</v>
      </c>
      <c r="N96" s="30" t="s">
        <v>209</v>
      </c>
      <c r="O96" t="s">
        <v>434</v>
      </c>
      <c r="P96" t="s">
        <v>435</v>
      </c>
      <c r="S96">
        <v>106005</v>
      </c>
      <c r="T96" t="s">
        <v>90</v>
      </c>
      <c r="V96" t="b">
        <v>1</v>
      </c>
      <c r="W96" t="b">
        <v>0</v>
      </c>
      <c r="X96" t="b">
        <v>0</v>
      </c>
      <c r="Y96" t="b">
        <v>0</v>
      </c>
      <c r="Z96" t="b">
        <v>0</v>
      </c>
    </row>
    <row r="97" spans="2:26">
      <c r="B97">
        <v>6006</v>
      </c>
      <c r="C97" t="s">
        <v>436</v>
      </c>
      <c r="D97" t="s">
        <v>437</v>
      </c>
      <c r="E97" t="s">
        <v>417</v>
      </c>
      <c r="F97" t="s">
        <v>85</v>
      </c>
      <c r="G97" t="s">
        <v>209</v>
      </c>
      <c r="H97" t="s">
        <v>209</v>
      </c>
      <c r="I97" t="s">
        <v>109</v>
      </c>
      <c r="J97">
        <v>300</v>
      </c>
      <c r="K97" t="b">
        <v>0</v>
      </c>
      <c r="L97" t="s">
        <v>95</v>
      </c>
      <c r="M97">
        <v>0</v>
      </c>
      <c r="N97" s="30" t="s">
        <v>209</v>
      </c>
      <c r="O97" t="s">
        <v>438</v>
      </c>
      <c r="P97" t="s">
        <v>439</v>
      </c>
      <c r="S97">
        <v>106006</v>
      </c>
      <c r="T97" t="s">
        <v>90</v>
      </c>
      <c r="V97" t="b">
        <v>1</v>
      </c>
      <c r="W97" t="b">
        <v>0</v>
      </c>
      <c r="X97" t="b">
        <v>0</v>
      </c>
      <c r="Y97" t="b">
        <v>0</v>
      </c>
      <c r="Z97" t="b">
        <v>0</v>
      </c>
    </row>
    <row r="98" spans="2:26">
      <c r="B98">
        <v>6007</v>
      </c>
      <c r="C98" t="s">
        <v>440</v>
      </c>
      <c r="D98" t="s">
        <v>441</v>
      </c>
      <c r="E98" t="s">
        <v>417</v>
      </c>
      <c r="F98" t="s">
        <v>93</v>
      </c>
      <c r="G98" t="s">
        <v>209</v>
      </c>
      <c r="H98" t="s">
        <v>209</v>
      </c>
      <c r="I98" t="s">
        <v>129</v>
      </c>
      <c r="J98">
        <v>300</v>
      </c>
      <c r="K98" t="b">
        <v>0</v>
      </c>
      <c r="L98" t="s">
        <v>95</v>
      </c>
      <c r="M98">
        <v>0</v>
      </c>
      <c r="N98" s="30" t="s">
        <v>209</v>
      </c>
      <c r="O98" t="s">
        <v>442</v>
      </c>
      <c r="P98" t="s">
        <v>443</v>
      </c>
      <c r="S98">
        <v>106007</v>
      </c>
      <c r="T98" t="s">
        <v>90</v>
      </c>
      <c r="V98" t="b">
        <v>1</v>
      </c>
      <c r="W98" t="b">
        <v>0</v>
      </c>
      <c r="X98" t="b">
        <v>0</v>
      </c>
      <c r="Y98" t="b">
        <v>0</v>
      </c>
      <c r="Z98" t="b">
        <v>0</v>
      </c>
    </row>
    <row r="99" spans="2:26">
      <c r="B99">
        <v>6008</v>
      </c>
      <c r="C99" t="s">
        <v>444</v>
      </c>
      <c r="D99" t="s">
        <v>445</v>
      </c>
      <c r="E99" t="s">
        <v>417</v>
      </c>
      <c r="F99" t="s">
        <v>85</v>
      </c>
      <c r="G99" t="s">
        <v>209</v>
      </c>
      <c r="H99" t="s">
        <v>209</v>
      </c>
      <c r="I99" t="s">
        <v>100</v>
      </c>
      <c r="J99">
        <v>300</v>
      </c>
      <c r="K99" t="b">
        <v>0</v>
      </c>
      <c r="L99" t="s">
        <v>95</v>
      </c>
      <c r="M99">
        <v>0</v>
      </c>
      <c r="N99" s="30" t="s">
        <v>209</v>
      </c>
      <c r="O99" t="s">
        <v>446</v>
      </c>
      <c r="P99" t="s">
        <v>447</v>
      </c>
      <c r="S99">
        <v>106008</v>
      </c>
      <c r="T99" t="s">
        <v>90</v>
      </c>
      <c r="V99" t="b">
        <v>1</v>
      </c>
      <c r="W99" t="b">
        <v>0</v>
      </c>
      <c r="X99" t="b">
        <v>0</v>
      </c>
      <c r="Y99" t="b">
        <v>0</v>
      </c>
      <c r="Z99" t="b">
        <v>0</v>
      </c>
    </row>
    <row r="100" spans="2:26">
      <c r="B100">
        <v>6009</v>
      </c>
      <c r="C100" t="s">
        <v>448</v>
      </c>
      <c r="D100" t="s">
        <v>449</v>
      </c>
      <c r="E100" t="s">
        <v>417</v>
      </c>
      <c r="F100" t="s">
        <v>93</v>
      </c>
      <c r="G100" t="s">
        <v>209</v>
      </c>
      <c r="H100" t="s">
        <v>209</v>
      </c>
      <c r="I100" t="s">
        <v>100</v>
      </c>
      <c r="J100">
        <v>300</v>
      </c>
      <c r="K100" t="b">
        <v>0</v>
      </c>
      <c r="L100" t="s">
        <v>95</v>
      </c>
      <c r="M100">
        <v>0</v>
      </c>
      <c r="N100" s="30" t="s">
        <v>209</v>
      </c>
      <c r="O100" t="s">
        <v>450</v>
      </c>
      <c r="P100" t="s">
        <v>451</v>
      </c>
      <c r="S100">
        <v>106009</v>
      </c>
      <c r="T100" t="s">
        <v>90</v>
      </c>
      <c r="V100" t="b">
        <v>1</v>
      </c>
      <c r="W100" t="b">
        <v>0</v>
      </c>
      <c r="X100" t="b">
        <v>0</v>
      </c>
      <c r="Y100" t="b">
        <v>0</v>
      </c>
      <c r="Z100" t="b">
        <v>0</v>
      </c>
    </row>
    <row r="101" spans="2:26">
      <c r="B101">
        <v>6010</v>
      </c>
      <c r="C101" t="s">
        <v>452</v>
      </c>
      <c r="D101" t="s">
        <v>453</v>
      </c>
      <c r="E101" t="s">
        <v>417</v>
      </c>
      <c r="F101" t="s">
        <v>93</v>
      </c>
      <c r="G101" t="s">
        <v>209</v>
      </c>
      <c r="H101" t="s">
        <v>209</v>
      </c>
      <c r="I101" t="s">
        <v>100</v>
      </c>
      <c r="J101">
        <v>300</v>
      </c>
      <c r="K101" t="b">
        <v>0</v>
      </c>
      <c r="L101" t="s">
        <v>95</v>
      </c>
      <c r="M101">
        <v>0</v>
      </c>
      <c r="N101" s="30" t="s">
        <v>209</v>
      </c>
      <c r="O101" t="s">
        <v>454</v>
      </c>
      <c r="P101" t="s">
        <v>455</v>
      </c>
      <c r="S101">
        <v>106010</v>
      </c>
      <c r="T101" t="s">
        <v>90</v>
      </c>
      <c r="V101" t="b">
        <v>1</v>
      </c>
      <c r="W101" t="b">
        <v>0</v>
      </c>
      <c r="X101" t="b">
        <v>0</v>
      </c>
      <c r="Y101" t="b">
        <v>0</v>
      </c>
      <c r="Z101" t="b">
        <v>0</v>
      </c>
    </row>
    <row r="102" spans="2:26">
      <c r="B102">
        <v>6011</v>
      </c>
      <c r="C102" t="s">
        <v>456</v>
      </c>
      <c r="D102" t="s">
        <v>457</v>
      </c>
      <c r="E102" t="s">
        <v>417</v>
      </c>
      <c r="F102" t="s">
        <v>93</v>
      </c>
      <c r="G102" t="s">
        <v>209</v>
      </c>
      <c r="H102" t="s">
        <v>209</v>
      </c>
      <c r="I102" t="s">
        <v>113</v>
      </c>
      <c r="J102">
        <v>300</v>
      </c>
      <c r="K102" t="b">
        <v>0</v>
      </c>
      <c r="L102" t="s">
        <v>95</v>
      </c>
      <c r="M102">
        <v>0</v>
      </c>
      <c r="N102" s="30" t="s">
        <v>209</v>
      </c>
      <c r="O102" t="s">
        <v>458</v>
      </c>
      <c r="P102" t="s">
        <v>459</v>
      </c>
      <c r="S102">
        <v>106011</v>
      </c>
      <c r="T102" t="s">
        <v>90</v>
      </c>
      <c r="V102" t="b">
        <v>1</v>
      </c>
      <c r="W102" t="b">
        <v>0</v>
      </c>
      <c r="X102" t="b">
        <v>0</v>
      </c>
      <c r="Y102" t="b">
        <v>0</v>
      </c>
      <c r="Z102" t="b">
        <v>0</v>
      </c>
    </row>
    <row r="103" spans="2:26">
      <c r="B103">
        <v>7001</v>
      </c>
      <c r="C103" t="s">
        <v>460</v>
      </c>
      <c r="D103" t="s">
        <v>461</v>
      </c>
      <c r="E103" t="s">
        <v>462</v>
      </c>
      <c r="F103" t="s">
        <v>93</v>
      </c>
      <c r="I103" t="s">
        <v>100</v>
      </c>
      <c r="J103">
        <v>300</v>
      </c>
      <c r="K103" t="b">
        <v>0</v>
      </c>
      <c r="L103" t="s">
        <v>95</v>
      </c>
      <c r="M103">
        <v>0</v>
      </c>
      <c r="O103" t="s">
        <v>463</v>
      </c>
      <c r="P103" t="s">
        <v>464</v>
      </c>
      <c r="S103">
        <v>107001</v>
      </c>
      <c r="T103" t="s">
        <v>90</v>
      </c>
      <c r="V103" t="b">
        <v>1</v>
      </c>
      <c r="W103" t="b">
        <v>0</v>
      </c>
      <c r="X103" t="b">
        <v>0</v>
      </c>
      <c r="Y103" t="b">
        <v>0</v>
      </c>
      <c r="Z103" t="b">
        <v>0</v>
      </c>
    </row>
    <row r="104" spans="2:26">
      <c r="B104">
        <v>7002</v>
      </c>
      <c r="C104" t="s">
        <v>465</v>
      </c>
      <c r="D104" t="s">
        <v>466</v>
      </c>
      <c r="E104" t="s">
        <v>462</v>
      </c>
      <c r="F104" t="s">
        <v>93</v>
      </c>
      <c r="I104" t="s">
        <v>100</v>
      </c>
      <c r="J104">
        <v>300</v>
      </c>
      <c r="K104" t="b">
        <v>0</v>
      </c>
      <c r="L104" t="s">
        <v>95</v>
      </c>
      <c r="M104">
        <v>0</v>
      </c>
      <c r="O104" t="s">
        <v>467</v>
      </c>
      <c r="P104" t="s">
        <v>468</v>
      </c>
      <c r="S104">
        <v>107002</v>
      </c>
      <c r="T104" t="s">
        <v>90</v>
      </c>
      <c r="V104" t="b">
        <v>1</v>
      </c>
      <c r="W104" t="b">
        <v>0</v>
      </c>
      <c r="X104" t="b">
        <v>0</v>
      </c>
      <c r="Y104" t="b">
        <v>0</v>
      </c>
      <c r="Z104" t="b">
        <v>0</v>
      </c>
    </row>
    <row r="105" spans="2:26">
      <c r="B105">
        <v>7003</v>
      </c>
      <c r="C105" t="s">
        <v>469</v>
      </c>
      <c r="D105" t="s">
        <v>470</v>
      </c>
      <c r="E105" t="s">
        <v>462</v>
      </c>
      <c r="F105" t="s">
        <v>93</v>
      </c>
      <c r="I105" t="s">
        <v>100</v>
      </c>
      <c r="J105">
        <v>300</v>
      </c>
      <c r="K105" t="b">
        <v>0</v>
      </c>
      <c r="L105" t="s">
        <v>95</v>
      </c>
      <c r="M105">
        <v>0</v>
      </c>
      <c r="O105" t="s">
        <v>471</v>
      </c>
      <c r="P105" t="s">
        <v>472</v>
      </c>
      <c r="S105">
        <v>107003</v>
      </c>
      <c r="T105" t="s">
        <v>90</v>
      </c>
      <c r="V105" t="b">
        <v>1</v>
      </c>
      <c r="W105" t="b">
        <v>0</v>
      </c>
      <c r="X105" t="b">
        <v>0</v>
      </c>
      <c r="Y105" t="b">
        <v>0</v>
      </c>
      <c r="Z105" t="b">
        <v>0</v>
      </c>
    </row>
    <row r="106" s="29" customFormat="1" spans="2:26">
      <c r="B106" s="29">
        <v>7004</v>
      </c>
      <c r="C106" s="29" t="s">
        <v>473</v>
      </c>
      <c r="D106" s="29" t="s">
        <v>474</v>
      </c>
      <c r="E106" s="29" t="s">
        <v>462</v>
      </c>
      <c r="F106" s="29" t="s">
        <v>85</v>
      </c>
      <c r="I106" s="32" t="s">
        <v>86</v>
      </c>
      <c r="J106" s="29">
        <v>300</v>
      </c>
      <c r="K106" s="29" t="b">
        <v>0</v>
      </c>
      <c r="L106" s="29" t="s">
        <v>87</v>
      </c>
      <c r="M106" s="29">
        <v>0</v>
      </c>
      <c r="O106" s="29" t="s">
        <v>475</v>
      </c>
      <c r="P106" s="29" t="s">
        <v>476</v>
      </c>
      <c r="S106" s="29">
        <v>107004</v>
      </c>
      <c r="T106" s="29" t="s">
        <v>90</v>
      </c>
      <c r="U106" s="29"/>
      <c r="V106" s="29" t="b">
        <v>1</v>
      </c>
      <c r="W106" s="29" t="b">
        <v>0</v>
      </c>
      <c r="X106" s="29" t="b">
        <v>0</v>
      </c>
      <c r="Y106" s="29" t="b">
        <v>0</v>
      </c>
      <c r="Z106" s="29" t="b">
        <v>0</v>
      </c>
    </row>
    <row r="107" spans="2:26">
      <c r="B107">
        <v>7005</v>
      </c>
      <c r="C107" t="s">
        <v>477</v>
      </c>
      <c r="D107" t="s">
        <v>478</v>
      </c>
      <c r="E107" t="s">
        <v>462</v>
      </c>
      <c r="F107" t="s">
        <v>93</v>
      </c>
      <c r="I107" s="22" t="s">
        <v>94</v>
      </c>
      <c r="J107">
        <v>300</v>
      </c>
      <c r="K107" t="b">
        <v>0</v>
      </c>
      <c r="L107" t="s">
        <v>95</v>
      </c>
      <c r="M107">
        <v>0</v>
      </c>
      <c r="O107" t="s">
        <v>479</v>
      </c>
      <c r="P107" t="s">
        <v>480</v>
      </c>
      <c r="S107">
        <v>107005</v>
      </c>
      <c r="T107" t="s">
        <v>90</v>
      </c>
      <c r="V107" t="b">
        <v>1</v>
      </c>
      <c r="W107" t="b">
        <v>0</v>
      </c>
      <c r="X107" t="b">
        <v>0</v>
      </c>
      <c r="Y107" t="b">
        <v>0</v>
      </c>
      <c r="Z107" t="b">
        <v>0</v>
      </c>
    </row>
    <row r="108" spans="2:26">
      <c r="B108">
        <v>7006</v>
      </c>
      <c r="C108" t="s">
        <v>481</v>
      </c>
      <c r="D108" t="s">
        <v>482</v>
      </c>
      <c r="E108" t="s">
        <v>462</v>
      </c>
      <c r="F108" t="s">
        <v>93</v>
      </c>
      <c r="I108" s="22" t="s">
        <v>94</v>
      </c>
      <c r="J108">
        <v>300</v>
      </c>
      <c r="K108" t="b">
        <v>0</v>
      </c>
      <c r="L108" t="s">
        <v>95</v>
      </c>
      <c r="M108">
        <v>0</v>
      </c>
      <c r="O108" t="s">
        <v>483</v>
      </c>
      <c r="P108" t="s">
        <v>484</v>
      </c>
      <c r="S108">
        <v>107006</v>
      </c>
      <c r="T108" t="s">
        <v>90</v>
      </c>
      <c r="V108" t="b">
        <v>1</v>
      </c>
      <c r="W108" t="b">
        <v>0</v>
      </c>
      <c r="X108" t="b">
        <v>0</v>
      </c>
      <c r="Y108" t="b">
        <v>0</v>
      </c>
      <c r="Z108" t="b">
        <v>0</v>
      </c>
    </row>
    <row r="109" spans="2:26">
      <c r="B109">
        <v>7007</v>
      </c>
      <c r="C109" t="s">
        <v>485</v>
      </c>
      <c r="D109" t="s">
        <v>486</v>
      </c>
      <c r="E109" t="s">
        <v>462</v>
      </c>
      <c r="F109" t="s">
        <v>93</v>
      </c>
      <c r="I109" t="s">
        <v>100</v>
      </c>
      <c r="J109">
        <v>300</v>
      </c>
      <c r="K109" t="b">
        <v>0</v>
      </c>
      <c r="L109" t="s">
        <v>95</v>
      </c>
      <c r="M109">
        <v>0</v>
      </c>
      <c r="O109" t="s">
        <v>487</v>
      </c>
      <c r="P109" t="s">
        <v>488</v>
      </c>
      <c r="S109">
        <v>107007</v>
      </c>
      <c r="T109" t="s">
        <v>90</v>
      </c>
      <c r="V109" t="b">
        <v>1</v>
      </c>
      <c r="W109" t="b">
        <v>0</v>
      </c>
      <c r="X109" t="b">
        <v>0</v>
      </c>
      <c r="Y109" t="b">
        <v>0</v>
      </c>
      <c r="Z109" t="b">
        <v>0</v>
      </c>
    </row>
    <row r="110" spans="2:26">
      <c r="B110">
        <v>7008</v>
      </c>
      <c r="C110" t="s">
        <v>489</v>
      </c>
      <c r="D110" t="s">
        <v>490</v>
      </c>
      <c r="E110" t="s">
        <v>462</v>
      </c>
      <c r="F110" t="s">
        <v>85</v>
      </c>
      <c r="G110" t="s">
        <v>209</v>
      </c>
      <c r="H110" t="s">
        <v>209</v>
      </c>
      <c r="I110" t="s">
        <v>94</v>
      </c>
      <c r="J110">
        <v>300</v>
      </c>
      <c r="K110" t="b">
        <v>0</v>
      </c>
      <c r="L110" t="s">
        <v>95</v>
      </c>
      <c r="M110">
        <v>0</v>
      </c>
      <c r="N110" s="30" t="s">
        <v>209</v>
      </c>
      <c r="O110" t="s">
        <v>491</v>
      </c>
      <c r="P110" t="s">
        <v>492</v>
      </c>
      <c r="S110">
        <v>107008</v>
      </c>
      <c r="T110" t="s">
        <v>90</v>
      </c>
      <c r="V110" t="b">
        <v>1</v>
      </c>
      <c r="W110" t="b">
        <v>0</v>
      </c>
      <c r="X110" t="b">
        <v>0</v>
      </c>
      <c r="Y110" t="b">
        <v>0</v>
      </c>
      <c r="Z110" t="b">
        <v>0</v>
      </c>
    </row>
    <row r="111" spans="2:26">
      <c r="B111">
        <v>7009</v>
      </c>
      <c r="C111" t="s">
        <v>493</v>
      </c>
      <c r="D111" t="s">
        <v>494</v>
      </c>
      <c r="E111" t="s">
        <v>462</v>
      </c>
      <c r="F111" t="s">
        <v>93</v>
      </c>
      <c r="G111" t="s">
        <v>209</v>
      </c>
      <c r="H111" t="s">
        <v>209</v>
      </c>
      <c r="I111" t="s">
        <v>94</v>
      </c>
      <c r="J111">
        <v>300</v>
      </c>
      <c r="K111" t="b">
        <v>0</v>
      </c>
      <c r="L111" t="s">
        <v>95</v>
      </c>
      <c r="M111">
        <v>0</v>
      </c>
      <c r="N111" s="30" t="s">
        <v>209</v>
      </c>
      <c r="O111" t="s">
        <v>495</v>
      </c>
      <c r="P111" t="s">
        <v>496</v>
      </c>
      <c r="S111">
        <v>107009</v>
      </c>
      <c r="T111" t="s">
        <v>90</v>
      </c>
      <c r="V111" t="b">
        <v>1</v>
      </c>
      <c r="W111" t="b">
        <v>0</v>
      </c>
      <c r="X111" t="b">
        <v>0</v>
      </c>
      <c r="Y111" t="b">
        <v>0</v>
      </c>
      <c r="Z111" t="b">
        <v>0</v>
      </c>
    </row>
    <row r="112" spans="2:26">
      <c r="B112">
        <v>7010</v>
      </c>
      <c r="C112" t="s">
        <v>497</v>
      </c>
      <c r="D112" t="s">
        <v>498</v>
      </c>
      <c r="E112" t="s">
        <v>462</v>
      </c>
      <c r="F112" t="s">
        <v>93</v>
      </c>
      <c r="G112" t="s">
        <v>209</v>
      </c>
      <c r="H112" t="s">
        <v>209</v>
      </c>
      <c r="I112" t="s">
        <v>129</v>
      </c>
      <c r="J112">
        <v>300</v>
      </c>
      <c r="K112" t="b">
        <v>0</v>
      </c>
      <c r="L112" t="s">
        <v>95</v>
      </c>
      <c r="M112">
        <v>0</v>
      </c>
      <c r="N112" s="30" t="s">
        <v>209</v>
      </c>
      <c r="O112" t="s">
        <v>499</v>
      </c>
      <c r="P112" t="s">
        <v>500</v>
      </c>
      <c r="S112">
        <v>107010</v>
      </c>
      <c r="T112" t="s">
        <v>90</v>
      </c>
      <c r="V112" t="b">
        <v>1</v>
      </c>
      <c r="W112" t="b">
        <v>0</v>
      </c>
      <c r="X112" t="b">
        <v>0</v>
      </c>
      <c r="Y112" t="b">
        <v>0</v>
      </c>
      <c r="Z112" t="b">
        <v>0</v>
      </c>
    </row>
    <row r="113" spans="1:30">
      <c r="B113">
        <v>7011</v>
      </c>
      <c r="C113" t="s">
        <v>501</v>
      </c>
      <c r="D113" t="s">
        <v>502</v>
      </c>
      <c r="E113" t="s">
        <v>462</v>
      </c>
      <c r="F113" t="s">
        <v>93</v>
      </c>
      <c r="G113" t="s">
        <v>209</v>
      </c>
      <c r="H113" t="s">
        <v>209</v>
      </c>
      <c r="I113" t="s">
        <v>94</v>
      </c>
      <c r="J113">
        <v>300</v>
      </c>
      <c r="K113" t="b">
        <v>0</v>
      </c>
      <c r="L113" t="s">
        <v>95</v>
      </c>
      <c r="M113">
        <v>0</v>
      </c>
      <c r="N113" s="30" t="s">
        <v>209</v>
      </c>
      <c r="O113" t="s">
        <v>503</v>
      </c>
      <c r="P113" t="s">
        <v>504</v>
      </c>
      <c r="S113">
        <v>107011</v>
      </c>
      <c r="T113" t="s">
        <v>90</v>
      </c>
      <c r="V113" t="b">
        <v>1</v>
      </c>
      <c r="W113" t="b">
        <v>0</v>
      </c>
      <c r="X113" t="b">
        <v>0</v>
      </c>
      <c r="Y113" t="b">
        <v>0</v>
      </c>
      <c r="Z113" t="b">
        <v>0</v>
      </c>
    </row>
    <row r="114" spans="1:30">
      <c r="B114">
        <v>7012</v>
      </c>
      <c r="C114" t="s">
        <v>505</v>
      </c>
      <c r="D114" t="s">
        <v>506</v>
      </c>
      <c r="E114" t="s">
        <v>462</v>
      </c>
      <c r="F114" t="s">
        <v>93</v>
      </c>
      <c r="G114" t="s">
        <v>209</v>
      </c>
      <c r="H114" t="s">
        <v>209</v>
      </c>
      <c r="I114" t="s">
        <v>113</v>
      </c>
      <c r="J114">
        <v>300</v>
      </c>
      <c r="K114" t="b">
        <v>0</v>
      </c>
      <c r="L114" t="s">
        <v>95</v>
      </c>
      <c r="M114">
        <v>0</v>
      </c>
      <c r="N114" s="30" t="s">
        <v>209</v>
      </c>
      <c r="O114" t="s">
        <v>507</v>
      </c>
      <c r="P114" t="s">
        <v>508</v>
      </c>
      <c r="S114">
        <v>107012</v>
      </c>
      <c r="T114" t="s">
        <v>90</v>
      </c>
      <c r="V114" t="b">
        <v>1</v>
      </c>
      <c r="W114" t="b">
        <v>0</v>
      </c>
      <c r="X114" t="b">
        <v>0</v>
      </c>
      <c r="Y114" t="b">
        <v>0</v>
      </c>
      <c r="Z114" t="b">
        <v>0</v>
      </c>
    </row>
    <row r="115" spans="1:30">
      <c r="B115">
        <v>7013</v>
      </c>
      <c r="C115" t="s">
        <v>509</v>
      </c>
      <c r="D115" t="s">
        <v>510</v>
      </c>
      <c r="E115" t="s">
        <v>462</v>
      </c>
      <c r="F115" t="s">
        <v>93</v>
      </c>
      <c r="G115" t="s">
        <v>209</v>
      </c>
      <c r="H115" t="s">
        <v>209</v>
      </c>
      <c r="I115" t="s">
        <v>94</v>
      </c>
      <c r="J115">
        <v>300</v>
      </c>
      <c r="K115" t="b">
        <v>0</v>
      </c>
      <c r="L115" t="s">
        <v>95</v>
      </c>
      <c r="M115">
        <v>0</v>
      </c>
      <c r="N115" s="30" t="s">
        <v>209</v>
      </c>
      <c r="O115" t="s">
        <v>511</v>
      </c>
      <c r="P115" t="s">
        <v>512</v>
      </c>
      <c r="S115">
        <v>107013</v>
      </c>
      <c r="T115" t="s">
        <v>90</v>
      </c>
      <c r="V115" t="b">
        <v>1</v>
      </c>
      <c r="W115" t="b">
        <v>0</v>
      </c>
      <c r="X115" t="b">
        <v>0</v>
      </c>
      <c r="Y115" t="b">
        <v>0</v>
      </c>
      <c r="Z115" t="b">
        <v>0</v>
      </c>
    </row>
    <row r="116" spans="1:30">
      <c r="B116">
        <v>7014</v>
      </c>
      <c r="C116" t="s">
        <v>513</v>
      </c>
      <c r="D116" t="s">
        <v>514</v>
      </c>
      <c r="E116" t="s">
        <v>462</v>
      </c>
      <c r="F116" t="s">
        <v>93</v>
      </c>
      <c r="G116" t="s">
        <v>209</v>
      </c>
      <c r="H116" t="s">
        <v>209</v>
      </c>
      <c r="I116" t="s">
        <v>100</v>
      </c>
      <c r="J116">
        <v>300</v>
      </c>
      <c r="K116" t="b">
        <v>0</v>
      </c>
      <c r="L116" t="s">
        <v>95</v>
      </c>
      <c r="M116">
        <v>0</v>
      </c>
      <c r="N116" s="30" t="s">
        <v>209</v>
      </c>
      <c r="O116" t="s">
        <v>515</v>
      </c>
      <c r="P116" t="s">
        <v>516</v>
      </c>
      <c r="S116">
        <v>107014</v>
      </c>
      <c r="T116" t="s">
        <v>90</v>
      </c>
      <c r="V116" t="b">
        <v>1</v>
      </c>
      <c r="W116" t="b">
        <v>0</v>
      </c>
      <c r="X116" t="b">
        <v>0</v>
      </c>
      <c r="Y116" t="b">
        <v>0</v>
      </c>
      <c r="Z116" t="b">
        <v>0</v>
      </c>
    </row>
    <row r="117" spans="1:30">
      <c r="B117">
        <v>7015</v>
      </c>
      <c r="C117" t="s">
        <v>517</v>
      </c>
      <c r="D117" t="s">
        <v>518</v>
      </c>
      <c r="E117" t="s">
        <v>462</v>
      </c>
      <c r="F117" t="s">
        <v>93</v>
      </c>
      <c r="G117" t="s">
        <v>209</v>
      </c>
      <c r="H117" t="s">
        <v>209</v>
      </c>
      <c r="I117" t="s">
        <v>100</v>
      </c>
      <c r="J117">
        <v>300</v>
      </c>
      <c r="K117" t="b">
        <v>0</v>
      </c>
      <c r="L117" t="s">
        <v>95</v>
      </c>
      <c r="M117">
        <v>0</v>
      </c>
      <c r="N117" s="30" t="s">
        <v>209</v>
      </c>
      <c r="O117" t="s">
        <v>519</v>
      </c>
      <c r="P117" t="s">
        <v>520</v>
      </c>
      <c r="S117">
        <v>107015</v>
      </c>
      <c r="T117" t="s">
        <v>90</v>
      </c>
      <c r="V117" t="b">
        <v>1</v>
      </c>
      <c r="W117" t="b">
        <v>0</v>
      </c>
      <c r="X117" t="b">
        <v>0</v>
      </c>
      <c r="Y117" t="b">
        <v>0</v>
      </c>
      <c r="Z117" t="b">
        <v>0</v>
      </c>
    </row>
    <row r="118" spans="1:30">
      <c r="B118">
        <v>7016</v>
      </c>
      <c r="C118" t="s">
        <v>521</v>
      </c>
      <c r="D118" t="s">
        <v>522</v>
      </c>
      <c r="E118" t="s">
        <v>462</v>
      </c>
      <c r="F118" t="s">
        <v>93</v>
      </c>
      <c r="G118" t="s">
        <v>209</v>
      </c>
      <c r="H118" t="s">
        <v>209</v>
      </c>
      <c r="I118" t="s">
        <v>94</v>
      </c>
      <c r="J118">
        <v>300</v>
      </c>
      <c r="K118" t="b">
        <v>0</v>
      </c>
      <c r="L118" t="s">
        <v>95</v>
      </c>
      <c r="M118">
        <v>0</v>
      </c>
      <c r="N118" s="30" t="s">
        <v>209</v>
      </c>
      <c r="O118" t="s">
        <v>523</v>
      </c>
      <c r="P118" t="s">
        <v>524</v>
      </c>
      <c r="S118">
        <v>107016</v>
      </c>
      <c r="T118" t="s">
        <v>90</v>
      </c>
      <c r="V118" t="b">
        <v>1</v>
      </c>
      <c r="W118" t="b">
        <v>0</v>
      </c>
      <c r="X118" t="b">
        <v>0</v>
      </c>
      <c r="Y118" t="b">
        <v>0</v>
      </c>
      <c r="Z118" t="b">
        <v>0</v>
      </c>
    </row>
    <row r="119" spans="1:30">
      <c r="B119">
        <v>7017</v>
      </c>
      <c r="C119" t="s">
        <v>525</v>
      </c>
      <c r="D119" t="s">
        <v>526</v>
      </c>
      <c r="E119" t="s">
        <v>462</v>
      </c>
      <c r="F119" t="s">
        <v>93</v>
      </c>
      <c r="G119" t="s">
        <v>209</v>
      </c>
      <c r="H119" t="s">
        <v>209</v>
      </c>
      <c r="I119" t="s">
        <v>109</v>
      </c>
      <c r="J119">
        <v>300</v>
      </c>
      <c r="K119" t="b">
        <v>0</v>
      </c>
      <c r="L119" t="s">
        <v>95</v>
      </c>
      <c r="M119">
        <v>0</v>
      </c>
      <c r="N119" s="30" t="s">
        <v>209</v>
      </c>
      <c r="O119" t="s">
        <v>527</v>
      </c>
      <c r="P119" t="s">
        <v>528</v>
      </c>
      <c r="S119">
        <v>107017</v>
      </c>
      <c r="T119" t="s">
        <v>90</v>
      </c>
      <c r="V119" t="b">
        <v>1</v>
      </c>
      <c r="W119" t="b">
        <v>0</v>
      </c>
      <c r="X119" t="b">
        <v>0</v>
      </c>
      <c r="Y119" t="b">
        <v>0</v>
      </c>
      <c r="Z119" t="b">
        <v>0</v>
      </c>
    </row>
    <row r="120" spans="1:30">
      <c r="B120">
        <v>7018</v>
      </c>
      <c r="C120" t="s">
        <v>529</v>
      </c>
      <c r="D120" t="s">
        <v>530</v>
      </c>
      <c r="E120" t="s">
        <v>462</v>
      </c>
      <c r="F120" t="s">
        <v>93</v>
      </c>
      <c r="I120" t="s">
        <v>100</v>
      </c>
      <c r="J120">
        <v>300</v>
      </c>
      <c r="K120" t="b">
        <v>0</v>
      </c>
      <c r="L120" t="s">
        <v>95</v>
      </c>
      <c r="M120">
        <v>0</v>
      </c>
      <c r="O120" t="s">
        <v>531</v>
      </c>
      <c r="P120" t="s">
        <v>532</v>
      </c>
      <c r="S120">
        <v>107018</v>
      </c>
      <c r="T120" t="s">
        <v>90</v>
      </c>
      <c r="V120" t="b">
        <v>1</v>
      </c>
      <c r="W120" t="b">
        <v>0</v>
      </c>
      <c r="X120" t="b">
        <v>0</v>
      </c>
      <c r="Y120" t="b">
        <v>0</v>
      </c>
      <c r="Z120" t="b">
        <v>0</v>
      </c>
    </row>
    <row r="121" spans="1:30">
      <c r="A121" t="s">
        <v>209</v>
      </c>
      <c r="B121">
        <v>7019</v>
      </c>
      <c r="C121" t="s">
        <v>533</v>
      </c>
      <c r="D121" t="s">
        <v>534</v>
      </c>
      <c r="E121" t="s">
        <v>462</v>
      </c>
      <c r="F121" t="s">
        <v>93</v>
      </c>
      <c r="G121" t="s">
        <v>209</v>
      </c>
      <c r="H121" t="s">
        <v>209</v>
      </c>
      <c r="I121" t="s">
        <v>109</v>
      </c>
      <c r="J121">
        <v>300</v>
      </c>
      <c r="K121" t="b">
        <v>0</v>
      </c>
      <c r="L121" t="s">
        <v>95</v>
      </c>
      <c r="M121">
        <v>0</v>
      </c>
      <c r="N121" s="30" t="s">
        <v>209</v>
      </c>
      <c r="O121" t="s">
        <v>535</v>
      </c>
      <c r="P121" t="s">
        <v>536</v>
      </c>
      <c r="Q121" t="s">
        <v>209</v>
      </c>
      <c r="R121" s="30" t="s">
        <v>209</v>
      </c>
      <c r="S121">
        <v>107019</v>
      </c>
      <c r="T121" t="s">
        <v>90</v>
      </c>
      <c r="V121" t="b">
        <v>1</v>
      </c>
      <c r="W121" t="b">
        <v>0</v>
      </c>
      <c r="X121" t="b">
        <v>0</v>
      </c>
      <c r="Y121" t="b">
        <v>0</v>
      </c>
      <c r="Z121" t="b">
        <v>0</v>
      </c>
      <c r="AA121" t="s">
        <v>209</v>
      </c>
      <c r="AB121" t="s">
        <v>209</v>
      </c>
      <c r="AC121" t="s">
        <v>209</v>
      </c>
      <c r="AD121" t="s">
        <v>209</v>
      </c>
    </row>
    <row r="122" spans="1:30">
      <c r="B122">
        <v>8001</v>
      </c>
      <c r="C122" t="s">
        <v>537</v>
      </c>
      <c r="D122" t="s">
        <v>538</v>
      </c>
      <c r="E122" t="s">
        <v>539</v>
      </c>
      <c r="F122" t="s">
        <v>93</v>
      </c>
      <c r="G122" t="s">
        <v>209</v>
      </c>
      <c r="H122" t="s">
        <v>209</v>
      </c>
      <c r="I122" t="s">
        <v>94</v>
      </c>
      <c r="J122">
        <v>300</v>
      </c>
      <c r="K122" t="b">
        <v>0</v>
      </c>
      <c r="L122" t="s">
        <v>95</v>
      </c>
      <c r="M122">
        <v>0</v>
      </c>
      <c r="N122" s="30" t="s">
        <v>209</v>
      </c>
      <c r="O122" t="s">
        <v>540</v>
      </c>
      <c r="P122" t="s">
        <v>541</v>
      </c>
      <c r="S122">
        <v>108001</v>
      </c>
      <c r="T122" t="s">
        <v>90</v>
      </c>
      <c r="V122" t="b">
        <v>1</v>
      </c>
      <c r="W122" t="b">
        <v>0</v>
      </c>
      <c r="X122" t="b">
        <v>0</v>
      </c>
      <c r="Y122" t="b">
        <v>0</v>
      </c>
      <c r="Z122" t="b">
        <v>0</v>
      </c>
    </row>
    <row r="123" spans="1:30">
      <c r="B123">
        <v>8003</v>
      </c>
      <c r="C123" t="s">
        <v>542</v>
      </c>
      <c r="D123" t="s">
        <v>543</v>
      </c>
      <c r="E123" t="s">
        <v>539</v>
      </c>
      <c r="F123" t="s">
        <v>93</v>
      </c>
      <c r="G123" t="s">
        <v>209</v>
      </c>
      <c r="H123" t="s">
        <v>209</v>
      </c>
      <c r="I123" t="s">
        <v>94</v>
      </c>
      <c r="J123">
        <v>300</v>
      </c>
      <c r="K123" t="b">
        <v>0</v>
      </c>
      <c r="L123" t="s">
        <v>95</v>
      </c>
      <c r="M123">
        <v>0</v>
      </c>
      <c r="N123" s="30" t="s">
        <v>209</v>
      </c>
      <c r="O123" t="s">
        <v>544</v>
      </c>
      <c r="P123" t="s">
        <v>545</v>
      </c>
      <c r="S123">
        <v>108003</v>
      </c>
      <c r="T123" t="s">
        <v>90</v>
      </c>
      <c r="V123" t="b">
        <v>1</v>
      </c>
      <c r="W123" t="b">
        <v>0</v>
      </c>
      <c r="X123" t="b">
        <v>0</v>
      </c>
      <c r="Y123" t="b">
        <v>0</v>
      </c>
      <c r="Z123" t="b">
        <v>0</v>
      </c>
    </row>
    <row r="124" spans="1:30">
      <c r="B124">
        <v>8004</v>
      </c>
      <c r="C124" t="s">
        <v>546</v>
      </c>
      <c r="D124" t="s">
        <v>547</v>
      </c>
      <c r="E124" t="s">
        <v>539</v>
      </c>
      <c r="F124" t="s">
        <v>93</v>
      </c>
      <c r="G124" t="s">
        <v>209</v>
      </c>
      <c r="H124" t="s">
        <v>209</v>
      </c>
      <c r="I124" t="s">
        <v>109</v>
      </c>
      <c r="J124">
        <v>300</v>
      </c>
      <c r="K124" t="b">
        <v>0</v>
      </c>
      <c r="L124" t="s">
        <v>95</v>
      </c>
      <c r="M124">
        <v>0</v>
      </c>
      <c r="N124" s="30" t="s">
        <v>209</v>
      </c>
      <c r="O124" t="s">
        <v>548</v>
      </c>
      <c r="P124" t="s">
        <v>549</v>
      </c>
      <c r="S124">
        <v>108004</v>
      </c>
      <c r="T124" t="s">
        <v>90</v>
      </c>
      <c r="V124" t="b">
        <v>1</v>
      </c>
      <c r="W124" t="b">
        <v>0</v>
      </c>
      <c r="X124" t="b">
        <v>0</v>
      </c>
      <c r="Y124" t="b">
        <v>0</v>
      </c>
      <c r="Z124" t="b">
        <v>0</v>
      </c>
    </row>
    <row r="125" spans="1:30">
      <c r="B125">
        <v>8005</v>
      </c>
      <c r="C125" t="s">
        <v>550</v>
      </c>
      <c r="D125" t="s">
        <v>551</v>
      </c>
      <c r="E125" t="s">
        <v>539</v>
      </c>
      <c r="F125" t="s">
        <v>85</v>
      </c>
      <c r="G125" t="s">
        <v>209</v>
      </c>
      <c r="H125" t="s">
        <v>209</v>
      </c>
      <c r="I125" t="s">
        <v>100</v>
      </c>
      <c r="J125">
        <v>300</v>
      </c>
      <c r="K125" t="b">
        <v>0</v>
      </c>
      <c r="L125" t="s">
        <v>95</v>
      </c>
      <c r="M125">
        <v>0</v>
      </c>
      <c r="N125" s="30" t="s">
        <v>209</v>
      </c>
      <c r="O125" t="s">
        <v>552</v>
      </c>
      <c r="P125" t="s">
        <v>553</v>
      </c>
      <c r="S125">
        <v>108005</v>
      </c>
      <c r="T125" t="s">
        <v>90</v>
      </c>
      <c r="V125" t="b">
        <v>1</v>
      </c>
      <c r="W125" t="b">
        <v>0</v>
      </c>
      <c r="X125" t="b">
        <v>0</v>
      </c>
      <c r="Y125" t="b">
        <v>0</v>
      </c>
      <c r="Z125" t="b">
        <v>0</v>
      </c>
    </row>
    <row r="126" spans="1:30">
      <c r="B126">
        <v>8007</v>
      </c>
      <c r="C126" t="s">
        <v>554</v>
      </c>
      <c r="D126" t="s">
        <v>555</v>
      </c>
      <c r="E126" t="s">
        <v>539</v>
      </c>
      <c r="F126" t="s">
        <v>93</v>
      </c>
      <c r="G126" t="s">
        <v>209</v>
      </c>
      <c r="H126" t="s">
        <v>209</v>
      </c>
      <c r="I126" t="s">
        <v>129</v>
      </c>
      <c r="J126">
        <v>300</v>
      </c>
      <c r="K126" t="b">
        <v>0</v>
      </c>
      <c r="L126" t="s">
        <v>95</v>
      </c>
      <c r="M126">
        <v>0</v>
      </c>
      <c r="N126" s="30" t="s">
        <v>209</v>
      </c>
      <c r="O126" t="s">
        <v>556</v>
      </c>
      <c r="P126" t="s">
        <v>557</v>
      </c>
      <c r="S126">
        <v>108007</v>
      </c>
      <c r="T126" t="s">
        <v>90</v>
      </c>
      <c r="V126" t="b">
        <v>1</v>
      </c>
      <c r="W126" t="b">
        <v>0</v>
      </c>
      <c r="X126" t="b">
        <v>0</v>
      </c>
      <c r="Y126" t="b">
        <v>0</v>
      </c>
      <c r="Z126" t="b">
        <v>0</v>
      </c>
    </row>
    <row r="127" spans="1:30">
      <c r="B127">
        <v>8008</v>
      </c>
      <c r="C127" t="s">
        <v>558</v>
      </c>
      <c r="D127" t="s">
        <v>559</v>
      </c>
      <c r="E127" t="s">
        <v>539</v>
      </c>
      <c r="F127" t="s">
        <v>93</v>
      </c>
      <c r="G127" t="s">
        <v>209</v>
      </c>
      <c r="H127" t="s">
        <v>209</v>
      </c>
      <c r="I127" t="s">
        <v>129</v>
      </c>
      <c r="J127">
        <v>300</v>
      </c>
      <c r="K127" t="b">
        <v>0</v>
      </c>
      <c r="L127" t="s">
        <v>95</v>
      </c>
      <c r="M127">
        <v>0</v>
      </c>
      <c r="N127" s="30" t="s">
        <v>209</v>
      </c>
      <c r="O127" t="s">
        <v>560</v>
      </c>
      <c r="P127" t="s">
        <v>561</v>
      </c>
      <c r="S127">
        <v>108008</v>
      </c>
      <c r="T127" t="s">
        <v>90</v>
      </c>
      <c r="V127" t="b">
        <v>1</v>
      </c>
      <c r="W127" t="b">
        <v>0</v>
      </c>
      <c r="X127" t="b">
        <v>0</v>
      </c>
      <c r="Y127" t="b">
        <v>0</v>
      </c>
      <c r="Z127" t="b">
        <v>0</v>
      </c>
    </row>
    <row r="128" spans="1:30">
      <c r="B128">
        <v>8009</v>
      </c>
      <c r="C128" t="s">
        <v>562</v>
      </c>
      <c r="D128" t="s">
        <v>563</v>
      </c>
      <c r="E128" t="s">
        <v>539</v>
      </c>
      <c r="F128" t="s">
        <v>93</v>
      </c>
      <c r="I128" t="s">
        <v>100</v>
      </c>
      <c r="J128">
        <v>300</v>
      </c>
      <c r="K128" t="b">
        <v>0</v>
      </c>
      <c r="L128" t="s">
        <v>95</v>
      </c>
      <c r="M128">
        <v>0</v>
      </c>
      <c r="O128" t="s">
        <v>564</v>
      </c>
      <c r="P128" t="s">
        <v>565</v>
      </c>
      <c r="S128">
        <v>108009</v>
      </c>
      <c r="T128" t="s">
        <v>90</v>
      </c>
      <c r="V128" t="b">
        <v>1</v>
      </c>
      <c r="W128" t="b">
        <v>0</v>
      </c>
      <c r="X128" t="b">
        <v>0</v>
      </c>
      <c r="Y128" t="b">
        <v>0</v>
      </c>
      <c r="Z128" t="b">
        <v>0</v>
      </c>
    </row>
    <row r="129" spans="1:30">
      <c r="B129">
        <v>8010</v>
      </c>
      <c r="C129" t="s">
        <v>566</v>
      </c>
      <c r="D129" t="s">
        <v>567</v>
      </c>
      <c r="E129" t="s">
        <v>539</v>
      </c>
      <c r="F129" t="s">
        <v>93</v>
      </c>
      <c r="I129" t="s">
        <v>100</v>
      </c>
      <c r="J129">
        <v>300</v>
      </c>
      <c r="K129" t="b">
        <v>0</v>
      </c>
      <c r="L129" t="s">
        <v>95</v>
      </c>
      <c r="M129">
        <v>0</v>
      </c>
      <c r="O129" t="s">
        <v>568</v>
      </c>
      <c r="P129" t="s">
        <v>569</v>
      </c>
      <c r="S129">
        <v>108010</v>
      </c>
      <c r="T129" t="s">
        <v>90</v>
      </c>
      <c r="V129" t="b">
        <v>1</v>
      </c>
      <c r="W129" t="b">
        <v>0</v>
      </c>
      <c r="X129" t="b">
        <v>0</v>
      </c>
      <c r="Y129" t="b">
        <v>0</v>
      </c>
      <c r="Z129" t="b">
        <v>0</v>
      </c>
    </row>
    <row r="130" spans="1:30">
      <c r="B130">
        <v>8011</v>
      </c>
      <c r="C130" t="s">
        <v>570</v>
      </c>
      <c r="D130" t="s">
        <v>571</v>
      </c>
      <c r="E130" t="s">
        <v>539</v>
      </c>
      <c r="F130" t="s">
        <v>93</v>
      </c>
      <c r="I130" t="s">
        <v>129</v>
      </c>
      <c r="J130">
        <v>300</v>
      </c>
      <c r="K130" t="b">
        <v>0</v>
      </c>
      <c r="L130" t="s">
        <v>95</v>
      </c>
      <c r="M130">
        <v>0</v>
      </c>
      <c r="O130" t="s">
        <v>572</v>
      </c>
      <c r="P130" t="s">
        <v>573</v>
      </c>
      <c r="S130">
        <v>108011</v>
      </c>
      <c r="T130" t="s">
        <v>90</v>
      </c>
      <c r="V130" t="b">
        <v>1</v>
      </c>
      <c r="W130" t="b">
        <v>0</v>
      </c>
      <c r="X130" t="b">
        <v>0</v>
      </c>
      <c r="Y130" t="b">
        <v>0</v>
      </c>
      <c r="Z130" t="b">
        <v>0</v>
      </c>
    </row>
    <row r="131" spans="1:30">
      <c r="A131" t="s">
        <v>209</v>
      </c>
      <c r="B131">
        <v>8012</v>
      </c>
      <c r="C131" t="s">
        <v>574</v>
      </c>
      <c r="D131" t="s">
        <v>575</v>
      </c>
      <c r="E131" t="s">
        <v>539</v>
      </c>
      <c r="F131" t="s">
        <v>85</v>
      </c>
      <c r="G131" t="s">
        <v>209</v>
      </c>
      <c r="H131" t="s">
        <v>209</v>
      </c>
      <c r="I131" t="s">
        <v>94</v>
      </c>
      <c r="J131">
        <v>300</v>
      </c>
      <c r="K131" t="b">
        <v>0</v>
      </c>
      <c r="L131" t="s">
        <v>95</v>
      </c>
      <c r="M131">
        <v>0</v>
      </c>
      <c r="N131" s="30" t="s">
        <v>209</v>
      </c>
      <c r="O131" t="s">
        <v>576</v>
      </c>
      <c r="P131" t="s">
        <v>577</v>
      </c>
      <c r="Q131" t="s">
        <v>209</v>
      </c>
      <c r="R131" s="30" t="s">
        <v>209</v>
      </c>
      <c r="S131">
        <v>108012</v>
      </c>
      <c r="T131" t="s">
        <v>90</v>
      </c>
      <c r="V131" t="b">
        <v>1</v>
      </c>
      <c r="W131" t="b">
        <v>0</v>
      </c>
      <c r="X131" t="b">
        <v>0</v>
      </c>
      <c r="Y131" t="b">
        <v>0</v>
      </c>
      <c r="Z131" t="b">
        <v>0</v>
      </c>
      <c r="AA131" t="s">
        <v>209</v>
      </c>
      <c r="AB131" t="s">
        <v>209</v>
      </c>
      <c r="AC131" t="s">
        <v>209</v>
      </c>
      <c r="AD131" t="s">
        <v>209</v>
      </c>
    </row>
    <row r="132" spans="1:30">
      <c r="A132" t="s">
        <v>209</v>
      </c>
      <c r="B132">
        <v>8013</v>
      </c>
      <c r="C132" t="s">
        <v>578</v>
      </c>
      <c r="D132" t="s">
        <v>579</v>
      </c>
      <c r="E132" t="s">
        <v>539</v>
      </c>
      <c r="F132" t="s">
        <v>93</v>
      </c>
      <c r="G132" t="s">
        <v>209</v>
      </c>
      <c r="H132" t="s">
        <v>209</v>
      </c>
      <c r="I132" t="s">
        <v>129</v>
      </c>
      <c r="J132">
        <v>300</v>
      </c>
      <c r="K132" t="b">
        <v>0</v>
      </c>
      <c r="L132" t="s">
        <v>95</v>
      </c>
      <c r="M132">
        <v>0</v>
      </c>
      <c r="N132" s="30" t="s">
        <v>209</v>
      </c>
      <c r="O132" t="s">
        <v>580</v>
      </c>
      <c r="P132" t="s">
        <v>581</v>
      </c>
      <c r="Q132" t="s">
        <v>209</v>
      </c>
      <c r="R132" s="30" t="s">
        <v>209</v>
      </c>
      <c r="S132">
        <v>108013</v>
      </c>
      <c r="T132" t="s">
        <v>90</v>
      </c>
      <c r="V132" t="b">
        <v>1</v>
      </c>
      <c r="W132" t="b">
        <v>0</v>
      </c>
      <c r="X132" t="b">
        <v>0</v>
      </c>
      <c r="Y132" t="b">
        <v>0</v>
      </c>
      <c r="Z132" t="b">
        <v>0</v>
      </c>
      <c r="AA132" t="s">
        <v>209</v>
      </c>
      <c r="AB132" t="s">
        <v>209</v>
      </c>
      <c r="AC132" t="s">
        <v>209</v>
      </c>
      <c r="AD132" t="s">
        <v>209</v>
      </c>
    </row>
    <row r="133" spans="1:30">
      <c r="B133">
        <v>9001</v>
      </c>
      <c r="C133" t="s">
        <v>582</v>
      </c>
      <c r="D133" t="s">
        <v>583</v>
      </c>
      <c r="E133" t="s">
        <v>584</v>
      </c>
      <c r="F133" t="s">
        <v>85</v>
      </c>
      <c r="I133" t="s">
        <v>109</v>
      </c>
      <c r="J133">
        <v>200</v>
      </c>
      <c r="K133" t="b">
        <v>0</v>
      </c>
      <c r="L133" t="s">
        <v>585</v>
      </c>
      <c r="M133">
        <v>0</v>
      </c>
      <c r="O133" t="s">
        <v>586</v>
      </c>
      <c r="P133" t="s">
        <v>587</v>
      </c>
      <c r="S133">
        <v>109001</v>
      </c>
      <c r="T133" t="s">
        <v>90</v>
      </c>
      <c r="V133" t="b">
        <v>1</v>
      </c>
      <c r="W133" t="b">
        <v>0</v>
      </c>
      <c r="X133" t="b">
        <v>0</v>
      </c>
      <c r="Y133" t="b">
        <v>1</v>
      </c>
      <c r="Z133" t="b">
        <v>0</v>
      </c>
    </row>
    <row r="134" spans="1:30">
      <c r="B134">
        <v>9002</v>
      </c>
      <c r="C134" t="s">
        <v>588</v>
      </c>
      <c r="D134" t="s">
        <v>589</v>
      </c>
      <c r="E134" t="s">
        <v>584</v>
      </c>
      <c r="F134" t="s">
        <v>93</v>
      </c>
      <c r="G134" t="s">
        <v>590</v>
      </c>
      <c r="H134">
        <v>9009</v>
      </c>
      <c r="I134" t="s">
        <v>94</v>
      </c>
      <c r="J134">
        <v>200</v>
      </c>
      <c r="K134" t="b">
        <v>0</v>
      </c>
      <c r="L134" t="s">
        <v>585</v>
      </c>
      <c r="M134">
        <v>0</v>
      </c>
      <c r="O134" t="s">
        <v>591</v>
      </c>
      <c r="P134" t="s">
        <v>592</v>
      </c>
      <c r="R134" s="30" t="s">
        <v>593</v>
      </c>
      <c r="S134">
        <v>109002</v>
      </c>
      <c r="T134" t="s">
        <v>90</v>
      </c>
      <c r="V134" t="b">
        <v>1</v>
      </c>
      <c r="W134" t="b">
        <v>0</v>
      </c>
      <c r="X134" t="b">
        <v>0</v>
      </c>
      <c r="Y134" t="b">
        <v>1</v>
      </c>
      <c r="Z134" t="b">
        <v>0</v>
      </c>
    </row>
    <row r="135" spans="1:30">
      <c r="B135">
        <v>9003</v>
      </c>
      <c r="C135" t="s">
        <v>594</v>
      </c>
      <c r="D135" t="s">
        <v>595</v>
      </c>
      <c r="E135" t="s">
        <v>584</v>
      </c>
      <c r="F135" t="s">
        <v>93</v>
      </c>
      <c r="G135" t="s">
        <v>590</v>
      </c>
      <c r="H135">
        <v>9009</v>
      </c>
      <c r="I135" t="s">
        <v>94</v>
      </c>
      <c r="J135">
        <v>200</v>
      </c>
      <c r="K135" t="b">
        <v>0</v>
      </c>
      <c r="L135" t="s">
        <v>585</v>
      </c>
      <c r="M135">
        <v>0</v>
      </c>
      <c r="O135" t="s">
        <v>596</v>
      </c>
      <c r="P135" t="s">
        <v>597</v>
      </c>
      <c r="R135" s="30" t="s">
        <v>593</v>
      </c>
      <c r="S135">
        <v>109003</v>
      </c>
      <c r="T135" t="s">
        <v>90</v>
      </c>
      <c r="V135" t="b">
        <v>1</v>
      </c>
      <c r="W135" t="b">
        <v>0</v>
      </c>
      <c r="X135" t="b">
        <v>0</v>
      </c>
      <c r="Y135" t="b">
        <v>1</v>
      </c>
      <c r="Z135" t="b">
        <v>0</v>
      </c>
    </row>
    <row r="136" spans="1:30">
      <c r="B136">
        <v>9004</v>
      </c>
      <c r="C136" t="s">
        <v>598</v>
      </c>
      <c r="D136" t="s">
        <v>599</v>
      </c>
      <c r="E136" t="s">
        <v>584</v>
      </c>
      <c r="F136" t="s">
        <v>85</v>
      </c>
      <c r="G136" t="s">
        <v>590</v>
      </c>
      <c r="H136">
        <v>9009</v>
      </c>
      <c r="I136" t="s">
        <v>109</v>
      </c>
      <c r="J136">
        <v>200</v>
      </c>
      <c r="K136" t="b">
        <v>0</v>
      </c>
      <c r="L136" t="s">
        <v>585</v>
      </c>
      <c r="M136">
        <v>0</v>
      </c>
      <c r="O136" t="s">
        <v>600</v>
      </c>
      <c r="P136" t="s">
        <v>601</v>
      </c>
      <c r="R136" s="30" t="s">
        <v>593</v>
      </c>
      <c r="S136">
        <v>109004</v>
      </c>
      <c r="T136" t="s">
        <v>90</v>
      </c>
      <c r="V136" t="b">
        <v>1</v>
      </c>
      <c r="W136" t="b">
        <v>0</v>
      </c>
      <c r="X136" t="b">
        <v>0</v>
      </c>
      <c r="Y136" t="b">
        <v>1</v>
      </c>
      <c r="Z136" t="b">
        <v>0</v>
      </c>
    </row>
    <row r="137" spans="1:30">
      <c r="B137">
        <v>9005</v>
      </c>
      <c r="C137" t="s">
        <v>602</v>
      </c>
      <c r="D137" t="s">
        <v>603</v>
      </c>
      <c r="E137" t="s">
        <v>584</v>
      </c>
      <c r="F137" t="s">
        <v>93</v>
      </c>
      <c r="G137" t="s">
        <v>590</v>
      </c>
      <c r="H137">
        <v>9009</v>
      </c>
      <c r="I137" t="s">
        <v>94</v>
      </c>
      <c r="J137">
        <v>200</v>
      </c>
      <c r="K137" t="b">
        <v>0</v>
      </c>
      <c r="L137" t="s">
        <v>585</v>
      </c>
      <c r="M137">
        <v>0</v>
      </c>
      <c r="O137" t="s">
        <v>604</v>
      </c>
      <c r="P137" t="s">
        <v>605</v>
      </c>
      <c r="R137" s="30" t="s">
        <v>593</v>
      </c>
      <c r="S137">
        <v>109005</v>
      </c>
      <c r="T137" t="s">
        <v>90</v>
      </c>
      <c r="V137" t="b">
        <v>1</v>
      </c>
      <c r="W137" t="b">
        <v>0</v>
      </c>
      <c r="X137" t="b">
        <v>0</v>
      </c>
      <c r="Y137" t="b">
        <v>1</v>
      </c>
      <c r="Z137" t="b">
        <v>0</v>
      </c>
    </row>
    <row r="138" spans="1:30">
      <c r="B138">
        <v>9006</v>
      </c>
      <c r="C138" t="s">
        <v>606</v>
      </c>
      <c r="D138" t="s">
        <v>607</v>
      </c>
      <c r="E138" t="s">
        <v>584</v>
      </c>
      <c r="F138" t="s">
        <v>93</v>
      </c>
      <c r="G138" t="s">
        <v>590</v>
      </c>
      <c r="H138">
        <v>9009</v>
      </c>
      <c r="I138" t="s">
        <v>94</v>
      </c>
      <c r="J138">
        <v>200</v>
      </c>
      <c r="K138" t="b">
        <v>0</v>
      </c>
      <c r="L138" t="s">
        <v>585</v>
      </c>
      <c r="M138">
        <v>0</v>
      </c>
      <c r="O138" t="s">
        <v>608</v>
      </c>
      <c r="P138" t="s">
        <v>609</v>
      </c>
      <c r="R138" s="30" t="s">
        <v>593</v>
      </c>
      <c r="S138">
        <v>109006</v>
      </c>
      <c r="T138" t="s">
        <v>90</v>
      </c>
      <c r="V138" t="b">
        <v>1</v>
      </c>
      <c r="W138" t="b">
        <v>0</v>
      </c>
      <c r="X138" t="b">
        <v>0</v>
      </c>
      <c r="Y138" t="b">
        <v>1</v>
      </c>
      <c r="Z138" t="b">
        <v>0</v>
      </c>
    </row>
    <row r="139" spans="1:30">
      <c r="B139">
        <v>9007</v>
      </c>
      <c r="C139" t="s">
        <v>610</v>
      </c>
      <c r="D139" t="s">
        <v>611</v>
      </c>
      <c r="E139" t="s">
        <v>584</v>
      </c>
      <c r="F139" t="s">
        <v>93</v>
      </c>
      <c r="G139" t="s">
        <v>590</v>
      </c>
      <c r="H139">
        <v>9009</v>
      </c>
      <c r="I139" t="s">
        <v>94</v>
      </c>
      <c r="J139">
        <v>200</v>
      </c>
      <c r="K139" t="b">
        <v>0</v>
      </c>
      <c r="L139" t="s">
        <v>585</v>
      </c>
      <c r="M139">
        <v>0</v>
      </c>
      <c r="O139" t="s">
        <v>612</v>
      </c>
      <c r="P139" t="s">
        <v>613</v>
      </c>
      <c r="R139" s="30" t="s">
        <v>593</v>
      </c>
      <c r="S139">
        <v>109007</v>
      </c>
      <c r="T139" t="s">
        <v>90</v>
      </c>
      <c r="V139" t="b">
        <v>1</v>
      </c>
      <c r="W139" t="b">
        <v>0</v>
      </c>
      <c r="X139" t="b">
        <v>0</v>
      </c>
      <c r="Y139" t="b">
        <v>1</v>
      </c>
      <c r="Z139" t="b">
        <v>0</v>
      </c>
    </row>
    <row r="140" spans="1:30">
      <c r="B140">
        <v>9008</v>
      </c>
      <c r="C140" t="s">
        <v>614</v>
      </c>
      <c r="D140" t="s">
        <v>615</v>
      </c>
      <c r="E140" t="s">
        <v>584</v>
      </c>
      <c r="F140" t="s">
        <v>93</v>
      </c>
      <c r="G140" t="s">
        <v>590</v>
      </c>
      <c r="H140">
        <v>9009</v>
      </c>
      <c r="I140" t="s">
        <v>109</v>
      </c>
      <c r="J140">
        <v>200</v>
      </c>
      <c r="K140" t="b">
        <v>0</v>
      </c>
      <c r="L140" t="s">
        <v>585</v>
      </c>
      <c r="M140">
        <v>0</v>
      </c>
      <c r="O140" t="s">
        <v>616</v>
      </c>
      <c r="P140" t="s">
        <v>617</v>
      </c>
      <c r="R140" s="30" t="s">
        <v>593</v>
      </c>
      <c r="S140">
        <v>109008</v>
      </c>
      <c r="T140" t="s">
        <v>90</v>
      </c>
      <c r="V140" t="b">
        <v>1</v>
      </c>
      <c r="W140" t="b">
        <v>0</v>
      </c>
      <c r="X140" t="b">
        <v>0</v>
      </c>
      <c r="Y140" t="b">
        <v>1</v>
      </c>
      <c r="Z140" t="b">
        <v>0</v>
      </c>
    </row>
    <row r="141" spans="1:30">
      <c r="B141">
        <v>9009</v>
      </c>
      <c r="C141" t="s">
        <v>618</v>
      </c>
      <c r="D141" t="s">
        <v>619</v>
      </c>
      <c r="E141" t="s">
        <v>584</v>
      </c>
      <c r="F141" t="s">
        <v>85</v>
      </c>
      <c r="I141" t="s">
        <v>100</v>
      </c>
      <c r="J141">
        <v>200</v>
      </c>
      <c r="K141" t="b">
        <v>0</v>
      </c>
      <c r="L141" t="s">
        <v>585</v>
      </c>
      <c r="M141">
        <v>0</v>
      </c>
      <c r="O141" t="s">
        <v>620</v>
      </c>
      <c r="P141" t="s">
        <v>621</v>
      </c>
      <c r="R141" s="30" t="s">
        <v>593</v>
      </c>
      <c r="S141">
        <v>109009</v>
      </c>
      <c r="T141" t="s">
        <v>90</v>
      </c>
      <c r="V141" t="b">
        <v>1</v>
      </c>
      <c r="W141" t="b">
        <v>0</v>
      </c>
      <c r="X141" t="b">
        <v>0</v>
      </c>
      <c r="Y141" t="b">
        <v>1</v>
      </c>
      <c r="Z141" t="b">
        <v>0</v>
      </c>
    </row>
    <row r="142" spans="1:30">
      <c r="B142">
        <v>9010</v>
      </c>
      <c r="C142" t="s">
        <v>622</v>
      </c>
      <c r="D142" t="s">
        <v>623</v>
      </c>
      <c r="E142" t="s">
        <v>584</v>
      </c>
      <c r="F142" t="s">
        <v>93</v>
      </c>
      <c r="G142" t="s">
        <v>590</v>
      </c>
      <c r="H142">
        <v>9009</v>
      </c>
      <c r="I142" t="s">
        <v>113</v>
      </c>
      <c r="J142">
        <v>200</v>
      </c>
      <c r="K142" t="b">
        <v>0</v>
      </c>
      <c r="L142" t="s">
        <v>585</v>
      </c>
      <c r="M142">
        <v>0</v>
      </c>
      <c r="O142" t="s">
        <v>624</v>
      </c>
      <c r="P142" t="s">
        <v>625</v>
      </c>
      <c r="S142">
        <v>109010</v>
      </c>
      <c r="T142" t="s">
        <v>90</v>
      </c>
      <c r="V142" t="b">
        <v>1</v>
      </c>
      <c r="W142" t="b">
        <v>0</v>
      </c>
      <c r="X142" t="b">
        <v>0</v>
      </c>
      <c r="Y142" t="b">
        <v>1</v>
      </c>
      <c r="Z142" t="b">
        <v>0</v>
      </c>
    </row>
    <row r="143" spans="1:30">
      <c r="B143">
        <v>9011</v>
      </c>
      <c r="C143" t="s">
        <v>626</v>
      </c>
      <c r="D143" t="s">
        <v>627</v>
      </c>
      <c r="E143" t="s">
        <v>584</v>
      </c>
      <c r="F143" t="s">
        <v>93</v>
      </c>
      <c r="G143" t="s">
        <v>590</v>
      </c>
      <c r="H143">
        <v>9009</v>
      </c>
      <c r="I143" t="s">
        <v>113</v>
      </c>
      <c r="J143">
        <v>200</v>
      </c>
      <c r="K143" t="b">
        <v>0</v>
      </c>
      <c r="L143" t="s">
        <v>585</v>
      </c>
      <c r="M143">
        <v>0</v>
      </c>
      <c r="O143" t="s">
        <v>628</v>
      </c>
      <c r="P143" t="s">
        <v>629</v>
      </c>
      <c r="R143" s="30" t="s">
        <v>593</v>
      </c>
      <c r="S143">
        <v>109011</v>
      </c>
      <c r="T143" t="s">
        <v>90</v>
      </c>
      <c r="V143" t="b">
        <v>1</v>
      </c>
      <c r="W143" t="b">
        <v>0</v>
      </c>
      <c r="X143" t="b">
        <v>0</v>
      </c>
      <c r="Y143" t="b">
        <v>1</v>
      </c>
      <c r="Z143" t="b">
        <v>0</v>
      </c>
    </row>
    <row r="144" s="29" customFormat="1" spans="1:30">
      <c r="B144" s="29">
        <v>10001</v>
      </c>
      <c r="C144" s="29" t="s">
        <v>630</v>
      </c>
      <c r="D144" s="29" t="s">
        <v>631</v>
      </c>
      <c r="E144" s="29" t="s">
        <v>632</v>
      </c>
      <c r="F144" s="29" t="s">
        <v>85</v>
      </c>
      <c r="I144" s="29" t="s">
        <v>86</v>
      </c>
      <c r="J144" s="29">
        <v>300</v>
      </c>
      <c r="K144" s="29" t="b">
        <v>1</v>
      </c>
      <c r="L144" s="29" t="s">
        <v>87</v>
      </c>
      <c r="M144" s="29">
        <v>0</v>
      </c>
      <c r="O144" s="29" t="s">
        <v>633</v>
      </c>
      <c r="P144" s="29" t="s">
        <v>634</v>
      </c>
      <c r="S144" s="29">
        <v>110001</v>
      </c>
      <c r="T144" s="29" t="s">
        <v>90</v>
      </c>
      <c r="U144" s="29"/>
      <c r="V144" s="29" t="b">
        <v>1</v>
      </c>
      <c r="W144" s="29" t="b">
        <v>0</v>
      </c>
      <c r="X144" s="29" t="b">
        <v>0</v>
      </c>
      <c r="Y144" s="29" t="b">
        <v>0</v>
      </c>
      <c r="Z144" s="29" t="b">
        <v>0</v>
      </c>
    </row>
    <row r="145" s="29" customFormat="1" spans="1:26">
      <c r="B145" s="29">
        <v>11001</v>
      </c>
      <c r="C145" s="29" t="s">
        <v>635</v>
      </c>
      <c r="D145" s="29" t="s">
        <v>636</v>
      </c>
      <c r="E145" s="29" t="s">
        <v>637</v>
      </c>
      <c r="F145" s="29" t="s">
        <v>85</v>
      </c>
      <c r="I145" s="29" t="s">
        <v>86</v>
      </c>
      <c r="J145" s="29">
        <v>300</v>
      </c>
      <c r="K145" s="29" t="b">
        <v>1</v>
      </c>
      <c r="L145" s="29" t="s">
        <v>87</v>
      </c>
      <c r="M145" s="29">
        <v>0</v>
      </c>
      <c r="O145" s="29" t="s">
        <v>638</v>
      </c>
      <c r="P145" s="29" t="s">
        <v>639</v>
      </c>
      <c r="R145" s="29" t="s">
        <v>640</v>
      </c>
      <c r="S145" s="29">
        <v>111001</v>
      </c>
      <c r="T145" s="29" t="s">
        <v>90</v>
      </c>
      <c r="U145" s="29"/>
      <c r="V145" s="29" t="b">
        <v>1</v>
      </c>
      <c r="W145" s="29" t="b">
        <v>0</v>
      </c>
      <c r="X145" s="29" t="b">
        <v>0</v>
      </c>
      <c r="Y145" s="29" t="b">
        <v>0</v>
      </c>
      <c r="Z145" s="29" t="b">
        <v>0</v>
      </c>
    </row>
    <row r="146" s="29" customFormat="1" spans="1:26">
      <c r="B146" s="29">
        <v>11002</v>
      </c>
      <c r="C146" s="29" t="s">
        <v>641</v>
      </c>
      <c r="D146" s="29" t="s">
        <v>642</v>
      </c>
      <c r="E146" s="29" t="s">
        <v>637</v>
      </c>
      <c r="F146" s="29" t="s">
        <v>85</v>
      </c>
      <c r="H146" s="29">
        <v>11001</v>
      </c>
      <c r="I146" s="29" t="s">
        <v>86</v>
      </c>
      <c r="J146" s="29">
        <v>300</v>
      </c>
      <c r="K146" s="29" t="b">
        <v>1</v>
      </c>
      <c r="L146" s="29" t="s">
        <v>87</v>
      </c>
      <c r="M146" s="29">
        <v>0</v>
      </c>
      <c r="O146" s="29" t="s">
        <v>638</v>
      </c>
      <c r="P146" s="29" t="s">
        <v>643</v>
      </c>
      <c r="S146" s="29">
        <v>111002</v>
      </c>
      <c r="T146" s="29" t="s">
        <v>90</v>
      </c>
      <c r="U146" s="29"/>
      <c r="V146" s="29" t="b">
        <v>1</v>
      </c>
      <c r="W146" s="29" t="b">
        <v>0</v>
      </c>
      <c r="X146" s="29" t="b">
        <v>0</v>
      </c>
      <c r="Y146" s="29" t="b">
        <v>0</v>
      </c>
      <c r="Z146" s="29" t="b">
        <v>0</v>
      </c>
    </row>
    <row r="147" spans="1:26">
      <c r="B147">
        <v>12001</v>
      </c>
      <c r="C147" t="s">
        <v>644</v>
      </c>
      <c r="D147" t="s">
        <v>645</v>
      </c>
      <c r="E147" t="s">
        <v>646</v>
      </c>
      <c r="F147" t="s">
        <v>93</v>
      </c>
      <c r="G147" t="s">
        <v>209</v>
      </c>
      <c r="H147" t="s">
        <v>209</v>
      </c>
      <c r="I147" s="22" t="s">
        <v>94</v>
      </c>
      <c r="J147">
        <v>300</v>
      </c>
      <c r="K147" t="b">
        <v>0</v>
      </c>
      <c r="L147" t="s">
        <v>95</v>
      </c>
      <c r="M147">
        <v>0</v>
      </c>
      <c r="N147" s="30" t="s">
        <v>209</v>
      </c>
      <c r="O147" t="s">
        <v>647</v>
      </c>
      <c r="P147" t="s">
        <v>648</v>
      </c>
      <c r="S147">
        <v>112001</v>
      </c>
      <c r="T147" t="s">
        <v>90</v>
      </c>
      <c r="V147" t="b">
        <v>1</v>
      </c>
      <c r="W147" t="b">
        <v>0</v>
      </c>
      <c r="X147" t="b">
        <v>0</v>
      </c>
      <c r="Y147" t="b">
        <v>0</v>
      </c>
      <c r="Z147" t="b">
        <v>0</v>
      </c>
    </row>
    <row r="148" spans="1:26">
      <c r="B148">
        <v>12002</v>
      </c>
      <c r="C148" t="s">
        <v>649</v>
      </c>
      <c r="D148" t="s">
        <v>650</v>
      </c>
      <c r="E148" t="s">
        <v>646</v>
      </c>
      <c r="F148" t="s">
        <v>85</v>
      </c>
      <c r="G148" t="s">
        <v>209</v>
      </c>
      <c r="H148" t="s">
        <v>209</v>
      </c>
      <c r="I148" s="22" t="s">
        <v>100</v>
      </c>
      <c r="J148">
        <v>300</v>
      </c>
      <c r="K148" t="b">
        <v>0</v>
      </c>
      <c r="L148" t="s">
        <v>95</v>
      </c>
      <c r="M148">
        <v>0</v>
      </c>
      <c r="N148" s="30" t="s">
        <v>209</v>
      </c>
      <c r="O148" t="s">
        <v>651</v>
      </c>
      <c r="P148" t="s">
        <v>652</v>
      </c>
      <c r="S148">
        <v>112002</v>
      </c>
      <c r="T148" t="s">
        <v>90</v>
      </c>
      <c r="V148" t="b">
        <v>1</v>
      </c>
      <c r="W148" t="b">
        <v>0</v>
      </c>
      <c r="X148" t="b">
        <v>0</v>
      </c>
      <c r="Y148" t="b">
        <v>0</v>
      </c>
      <c r="Z148" t="b">
        <v>0</v>
      </c>
    </row>
    <row r="149" customFormat="1" spans="1:26">
      <c r="B149">
        <v>51001</v>
      </c>
      <c r="C149" t="s">
        <v>653</v>
      </c>
      <c r="D149" t="s">
        <v>99</v>
      </c>
      <c r="E149" t="s">
        <v>84</v>
      </c>
      <c r="F149" t="s">
        <v>93</v>
      </c>
      <c r="I149" s="22" t="s">
        <v>345</v>
      </c>
      <c r="J149">
        <v>200</v>
      </c>
      <c r="K149" t="b">
        <v>0</v>
      </c>
      <c r="L149" t="s">
        <v>346</v>
      </c>
      <c r="M149">
        <v>0</v>
      </c>
      <c r="N149" s="30"/>
      <c r="O149" s="3" t="s">
        <v>101</v>
      </c>
      <c r="P149" s="3" t="s">
        <v>102</v>
      </c>
      <c r="Q149">
        <v>1003</v>
      </c>
      <c r="R149" s="30" t="s">
        <v>654</v>
      </c>
      <c r="S149">
        <v>151001</v>
      </c>
      <c r="T149" t="s">
        <v>90</v>
      </c>
      <c r="V149" t="b">
        <v>1</v>
      </c>
      <c r="W149" t="b">
        <v>0</v>
      </c>
      <c r="X149" t="b">
        <v>0</v>
      </c>
      <c r="Y149" t="b">
        <v>0</v>
      </c>
      <c r="Z149" t="b">
        <v>0</v>
      </c>
    </row>
    <row r="150" customFormat="1" spans="1:26">
      <c r="B150">
        <v>52001</v>
      </c>
      <c r="C150" t="s">
        <v>655</v>
      </c>
      <c r="D150" t="s">
        <v>656</v>
      </c>
      <c r="E150" t="s">
        <v>212</v>
      </c>
      <c r="F150" t="s">
        <v>93</v>
      </c>
      <c r="I150" s="22" t="s">
        <v>345</v>
      </c>
      <c r="J150">
        <v>100</v>
      </c>
      <c r="K150" t="b">
        <v>0</v>
      </c>
      <c r="L150" t="s">
        <v>346</v>
      </c>
      <c r="M150">
        <v>0</v>
      </c>
      <c r="N150" s="30"/>
      <c r="O150" t="s">
        <v>229</v>
      </c>
      <c r="P150" t="s">
        <v>230</v>
      </c>
      <c r="R150" s="30" t="s">
        <v>657</v>
      </c>
      <c r="S150">
        <v>152001</v>
      </c>
      <c r="T150" t="s">
        <v>90</v>
      </c>
      <c r="V150" t="b">
        <v>1</v>
      </c>
      <c r="W150" t="b">
        <v>0</v>
      </c>
      <c r="X150" t="b">
        <v>0</v>
      </c>
      <c r="Y150" t="b">
        <v>0</v>
      </c>
      <c r="Z150" t="b">
        <v>0</v>
      </c>
    </row>
    <row r="151" s="9" customFormat="1" spans="1:26">
      <c r="A151" s="9" t="s">
        <v>39</v>
      </c>
      <c r="B151" s="9" t="s">
        <v>658</v>
      </c>
      <c r="C151" s="9" t="s">
        <v>659</v>
      </c>
      <c r="D151" s="9" t="s">
        <v>660</v>
      </c>
      <c r="E151" s="9" t="s">
        <v>352</v>
      </c>
      <c r="F151" s="9" t="s">
        <v>93</v>
      </c>
      <c r="I151" s="33" t="s">
        <v>345</v>
      </c>
      <c r="J151" s="9">
        <v>0</v>
      </c>
      <c r="K151" s="9" t="b">
        <v>1</v>
      </c>
      <c r="L151" s="9" t="s">
        <v>353</v>
      </c>
      <c r="M151" s="9">
        <v>0</v>
      </c>
      <c r="O151" s="9" t="s">
        <v>661</v>
      </c>
      <c r="P151" s="9" t="s">
        <v>662</v>
      </c>
      <c r="S151" s="9">
        <v>153001</v>
      </c>
      <c r="T151" s="9" t="s">
        <v>90</v>
      </c>
      <c r="V151" s="9" t="b">
        <v>1</v>
      </c>
      <c r="W151" s="9" t="b">
        <v>0</v>
      </c>
      <c r="X151" s="9" t="b">
        <v>0</v>
      </c>
      <c r="Y151" s="9" t="b">
        <v>0</v>
      </c>
      <c r="Z151" s="9" t="b">
        <v>1</v>
      </c>
    </row>
    <row r="152" customFormat="1" spans="1:26">
      <c r="B152">
        <v>92005</v>
      </c>
      <c r="C152" t="s">
        <v>663</v>
      </c>
      <c r="D152" t="s">
        <v>664</v>
      </c>
      <c r="E152" t="s">
        <v>212</v>
      </c>
      <c r="F152" t="s">
        <v>93</v>
      </c>
      <c r="I152" t="s">
        <v>345</v>
      </c>
      <c r="J152">
        <v>100</v>
      </c>
      <c r="K152" t="b">
        <v>0</v>
      </c>
      <c r="L152" t="s">
        <v>346</v>
      </c>
      <c r="M152">
        <v>0</v>
      </c>
      <c r="N152" s="30"/>
      <c r="O152" t="s">
        <v>229</v>
      </c>
      <c r="P152" t="s">
        <v>230</v>
      </c>
      <c r="R152" s="30" t="s">
        <v>665</v>
      </c>
      <c r="S152">
        <v>192005</v>
      </c>
      <c r="T152" t="s">
        <v>90</v>
      </c>
      <c r="V152" t="b">
        <v>1</v>
      </c>
      <c r="W152" t="b">
        <v>0</v>
      </c>
      <c r="X152" t="b">
        <v>0</v>
      </c>
      <c r="Y152" t="b">
        <v>0</v>
      </c>
      <c r="Z152" t="b">
        <v>0</v>
      </c>
    </row>
    <row r="153" customFormat="1" spans="1:26">
      <c r="B153">
        <v>91012</v>
      </c>
      <c r="C153" t="s">
        <v>666</v>
      </c>
      <c r="D153" t="s">
        <v>132</v>
      </c>
      <c r="E153" t="s">
        <v>84</v>
      </c>
      <c r="F153" t="s">
        <v>93</v>
      </c>
      <c r="I153" t="s">
        <v>345</v>
      </c>
      <c r="J153">
        <v>100</v>
      </c>
      <c r="K153" t="b">
        <v>0</v>
      </c>
      <c r="L153" t="s">
        <v>346</v>
      </c>
      <c r="M153">
        <v>0</v>
      </c>
      <c r="N153" s="30"/>
      <c r="O153" s="3" t="s">
        <v>88</v>
      </c>
      <c r="P153" s="3" t="s">
        <v>133</v>
      </c>
      <c r="Q153">
        <v>1012</v>
      </c>
      <c r="R153" s="30" t="s">
        <v>665</v>
      </c>
      <c r="S153">
        <v>191012</v>
      </c>
      <c r="T153" t="s">
        <v>90</v>
      </c>
      <c r="V153" t="b">
        <v>1</v>
      </c>
      <c r="W153" t="b">
        <v>0</v>
      </c>
      <c r="X153" t="b">
        <v>0</v>
      </c>
      <c r="Y153" t="b">
        <v>0</v>
      </c>
      <c r="Z153" t="b">
        <v>0</v>
      </c>
    </row>
  </sheetData>
  <conditionalFormatting sqref="I149">
    <cfRule type="cellIs" dxfId="0" priority="3" operator="equal">
      <formula>"普通"</formula>
    </cfRule>
    <cfRule type="cellIs" dxfId="1" priority="4" operator="equal">
      <formula>"神话"</formula>
    </cfRule>
    <cfRule type="cellIs" dxfId="2" priority="5" operator="equal">
      <formula>"优秀"</formula>
    </cfRule>
    <cfRule type="cellIs" dxfId="3" priority="6" operator="equal">
      <formula>"稀有"</formula>
    </cfRule>
    <cfRule type="cellIs" dxfId="4" priority="7" operator="equal">
      <formula>"史诗"</formula>
    </cfRule>
    <cfRule type="cellIs" dxfId="5" priority="8" operator="equal">
      <formula>"传说"</formula>
    </cfRule>
  </conditionalFormatting>
  <conditionalFormatting sqref="L149">
    <cfRule type="cellIs" dxfId="6" priority="9" operator="equal">
      <formula>"初始拥有"</formula>
    </cfRule>
  </conditionalFormatting>
  <conditionalFormatting sqref="I$1:I$1048576">
    <cfRule type="cellIs" dxfId="7" priority="1" operator="equal">
      <formula>"特殊1"</formula>
    </cfRule>
  </conditionalFormatting>
  <conditionalFormatting sqref="Z$1:Z$1048576">
    <cfRule type="containsText" dxfId="8" priority="2" operator="between" text="TRUE">
      <formula>NOT(ISERROR(SEARCH("TRUE",Z1)))</formula>
    </cfRule>
  </conditionalFormatting>
  <conditionalFormatting sqref="I1:I148 I150:I1048576">
    <cfRule type="cellIs" dxfId="0" priority="17" operator="equal">
      <formula>"普通"</formula>
    </cfRule>
    <cfRule type="cellIs" dxfId="1" priority="18" operator="equal">
      <formula>"神话"</formula>
    </cfRule>
    <cfRule type="cellIs" dxfId="2" priority="19" operator="equal">
      <formula>"优秀"</formula>
    </cfRule>
    <cfRule type="cellIs" dxfId="3" priority="20" operator="equal">
      <formula>"稀有"</formula>
    </cfRule>
    <cfRule type="cellIs" dxfId="4" priority="21" operator="equal">
      <formula>"史诗"</formula>
    </cfRule>
    <cfRule type="cellIs" dxfId="5" priority="22" operator="equal">
      <formula>"传说"</formula>
    </cfRule>
  </conditionalFormatting>
  <conditionalFormatting sqref="L1:L148 L150:L1048576">
    <cfRule type="cellIs" dxfId="6" priority="16" operator="equal">
      <formula>"初始拥有"</formula>
    </cfRule>
  </conditionalFormatting>
  <dataValidations count="2">
    <dataValidation type="list" allowBlank="1" showInputMessage="1" showErrorMessage="1" sqref="I5:I41 I43:I52 I55:I120 I122:I129 I133:I153">
      <formula1>表说明!$F$2:$F$9</formula1>
    </dataValidation>
    <dataValidation type="list" allowBlank="1" showInputMessage="1" showErrorMessage="1" sqref="L5:L41 L43:L52 L55:L120 L122:L130 L133:L153">
      <formula1>表说明!$C$18:$C$23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8"/>
  <sheetViews>
    <sheetView topLeftCell="A22" workbookViewId="0">
      <selection activeCell="J46" sqref="J46"/>
    </sheetView>
  </sheetViews>
  <sheetFormatPr defaultColWidth="8.66666666666667" defaultRowHeight="17.4"/>
  <cols>
    <col min="2" max="2" width="19.0833333333333" customWidth="1"/>
    <col min="3" max="3" width="11.4166666666667" customWidth="1"/>
    <col min="4" max="4" width="8.66666666666667" style="5"/>
    <col min="9" max="9" width="12.5833333333333" customWidth="1"/>
  </cols>
  <sheetData>
    <row r="1" spans="1:21">
      <c r="A1" s="24" t="s">
        <v>667</v>
      </c>
      <c r="B1" s="25"/>
      <c r="C1" s="25"/>
      <c r="D1" s="26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1">
      <c r="B2" s="16" t="s">
        <v>84</v>
      </c>
      <c r="C2" s="16" t="s">
        <v>668</v>
      </c>
      <c r="E2" t="s">
        <v>669</v>
      </c>
      <c r="F2" t="s">
        <v>129</v>
      </c>
      <c r="G2" s="16"/>
      <c r="H2" s="16" t="s">
        <v>670</v>
      </c>
      <c r="I2" s="16" t="s">
        <v>359</v>
      </c>
      <c r="J2" s="16">
        <v>1</v>
      </c>
      <c r="K2" s="16" t="s">
        <v>671</v>
      </c>
      <c r="O2" s="16" t="s">
        <v>672</v>
      </c>
      <c r="P2" s="16" t="s">
        <v>673</v>
      </c>
    </row>
    <row r="3" spans="1:21">
      <c r="B3" s="16" t="s">
        <v>212</v>
      </c>
      <c r="C3" s="16" t="s">
        <v>674</v>
      </c>
      <c r="E3" s="16" t="s">
        <v>675</v>
      </c>
      <c r="F3" s="16" t="s">
        <v>113</v>
      </c>
      <c r="G3" s="16"/>
      <c r="H3" s="16" t="s">
        <v>676</v>
      </c>
      <c r="I3" s="16" t="s">
        <v>677</v>
      </c>
      <c r="J3" s="16">
        <v>2</v>
      </c>
      <c r="K3" s="16" t="s">
        <v>678</v>
      </c>
      <c r="O3" s="16" t="s">
        <v>679</v>
      </c>
      <c r="P3" s="16" t="s">
        <v>680</v>
      </c>
    </row>
    <row r="4" spans="1:21">
      <c r="B4" s="16" t="s">
        <v>352</v>
      </c>
      <c r="C4" s="16" t="s">
        <v>681</v>
      </c>
      <c r="E4" s="16" t="s">
        <v>682</v>
      </c>
      <c r="F4" s="16" t="s">
        <v>109</v>
      </c>
      <c r="G4" s="16"/>
      <c r="H4" s="16" t="s">
        <v>683</v>
      </c>
      <c r="I4" s="16" t="s">
        <v>684</v>
      </c>
      <c r="J4" s="16">
        <v>4</v>
      </c>
      <c r="K4" s="16" t="s">
        <v>685</v>
      </c>
      <c r="O4" s="16" t="s">
        <v>686</v>
      </c>
      <c r="P4" s="16" t="s">
        <v>687</v>
      </c>
    </row>
    <row r="5" spans="1:21">
      <c r="B5" s="16" t="s">
        <v>358</v>
      </c>
      <c r="C5" s="16" t="s">
        <v>688</v>
      </c>
      <c r="E5" s="16" t="s">
        <v>689</v>
      </c>
      <c r="F5" s="16" t="s">
        <v>94</v>
      </c>
      <c r="G5" s="16"/>
      <c r="H5" s="16" t="s">
        <v>690</v>
      </c>
      <c r="I5" s="16" t="s">
        <v>691</v>
      </c>
      <c r="J5" s="16">
        <v>8</v>
      </c>
      <c r="K5" s="16" t="s">
        <v>692</v>
      </c>
      <c r="O5" s="16" t="s">
        <v>693</v>
      </c>
      <c r="P5" s="16" t="s">
        <v>694</v>
      </c>
    </row>
    <row r="6" spans="1:21">
      <c r="B6" s="16" t="s">
        <v>384</v>
      </c>
      <c r="C6" s="16" t="s">
        <v>695</v>
      </c>
      <c r="E6" t="s">
        <v>696</v>
      </c>
      <c r="F6" t="s">
        <v>100</v>
      </c>
      <c r="G6" s="16"/>
      <c r="H6" s="16" t="s">
        <v>697</v>
      </c>
      <c r="I6" s="16" t="s">
        <v>698</v>
      </c>
      <c r="J6" s="16">
        <v>16</v>
      </c>
      <c r="K6" s="16" t="s">
        <v>699</v>
      </c>
      <c r="O6" s="16" t="s">
        <v>700</v>
      </c>
      <c r="P6" s="16" t="s">
        <v>701</v>
      </c>
    </row>
    <row r="7" spans="1:21">
      <c r="B7" s="16" t="s">
        <v>417</v>
      </c>
      <c r="C7" s="16" t="s">
        <v>702</v>
      </c>
      <c r="E7" s="16" t="s">
        <v>703</v>
      </c>
      <c r="F7" s="16" t="s">
        <v>86</v>
      </c>
      <c r="G7" s="16"/>
      <c r="H7" s="16" t="s">
        <v>704</v>
      </c>
      <c r="I7" s="16" t="s">
        <v>705</v>
      </c>
      <c r="J7" s="16">
        <v>32</v>
      </c>
      <c r="K7" s="16" t="s">
        <v>706</v>
      </c>
      <c r="O7" s="16" t="s">
        <v>707</v>
      </c>
      <c r="P7" s="16" t="s">
        <v>708</v>
      </c>
    </row>
    <row r="8" spans="1:21">
      <c r="B8" s="16" t="s">
        <v>462</v>
      </c>
      <c r="C8" s="16" t="s">
        <v>709</v>
      </c>
      <c r="E8" s="16" t="s">
        <v>710</v>
      </c>
      <c r="F8" s="16" t="s">
        <v>345</v>
      </c>
      <c r="H8" s="16" t="s">
        <v>711</v>
      </c>
      <c r="I8" s="16" t="s">
        <v>712</v>
      </c>
      <c r="J8" s="16">
        <v>64</v>
      </c>
      <c r="K8" s="16" t="s">
        <v>713</v>
      </c>
      <c r="O8" s="16" t="s">
        <v>714</v>
      </c>
      <c r="P8" s="16" t="s">
        <v>715</v>
      </c>
    </row>
    <row r="9" spans="1:21">
      <c r="B9" s="16" t="s">
        <v>539</v>
      </c>
      <c r="C9" s="16" t="s">
        <v>716</v>
      </c>
      <c r="E9" s="16" t="s">
        <v>717</v>
      </c>
      <c r="F9" s="16" t="s">
        <v>718</v>
      </c>
      <c r="H9" s="16" t="s">
        <v>719</v>
      </c>
      <c r="I9" s="16" t="s">
        <v>720</v>
      </c>
      <c r="J9" s="16">
        <v>128</v>
      </c>
      <c r="K9" s="16" t="s">
        <v>721</v>
      </c>
      <c r="O9" s="16" t="s">
        <v>722</v>
      </c>
      <c r="P9" s="16" t="s">
        <v>723</v>
      </c>
    </row>
    <row r="10" spans="1:21">
      <c r="B10" s="16" t="s">
        <v>584</v>
      </c>
      <c r="C10" s="16" t="s">
        <v>724</v>
      </c>
      <c r="H10" s="16" t="s">
        <v>725</v>
      </c>
      <c r="I10" s="16" t="s">
        <v>726</v>
      </c>
      <c r="J10" s="16">
        <v>256</v>
      </c>
      <c r="K10" s="16" t="s">
        <v>727</v>
      </c>
    </row>
    <row r="11" spans="1:21">
      <c r="B11" s="16" t="s">
        <v>632</v>
      </c>
      <c r="C11" s="16" t="s">
        <v>728</v>
      </c>
      <c r="H11" s="16" t="s">
        <v>729</v>
      </c>
      <c r="I11" s="16" t="s">
        <v>730</v>
      </c>
      <c r="J11" s="16">
        <v>512</v>
      </c>
      <c r="K11" s="16" t="s">
        <v>731</v>
      </c>
    </row>
    <row r="12" spans="1:21">
      <c r="B12" s="16" t="s">
        <v>637</v>
      </c>
      <c r="C12" s="16" t="s">
        <v>732</v>
      </c>
      <c r="H12" s="16" t="s">
        <v>733</v>
      </c>
      <c r="I12" s="16" t="s">
        <v>734</v>
      </c>
      <c r="J12" s="16">
        <v>1024</v>
      </c>
      <c r="K12" s="16" t="s">
        <v>735</v>
      </c>
    </row>
    <row r="13" spans="1:21">
      <c r="B13" s="16" t="s">
        <v>646</v>
      </c>
      <c r="C13" s="16" t="s">
        <v>736</v>
      </c>
      <c r="H13" s="16" t="s">
        <v>737</v>
      </c>
      <c r="I13" s="16" t="s">
        <v>738</v>
      </c>
      <c r="J13" s="16">
        <v>2048</v>
      </c>
      <c r="K13" s="16" t="s">
        <v>739</v>
      </c>
    </row>
    <row r="18" spans="1:21">
      <c r="B18" s="16" t="s">
        <v>740</v>
      </c>
      <c r="C18" s="16" t="s">
        <v>87</v>
      </c>
    </row>
    <row r="19" spans="1:21">
      <c r="B19" s="16" t="s">
        <v>741</v>
      </c>
      <c r="C19" s="16" t="s">
        <v>95</v>
      </c>
    </row>
    <row r="20" spans="1:21">
      <c r="B20" s="16" t="s">
        <v>742</v>
      </c>
      <c r="C20" s="16" t="s">
        <v>585</v>
      </c>
    </row>
    <row r="21" spans="1:21">
      <c r="B21" s="16" t="s">
        <v>743</v>
      </c>
      <c r="C21" s="16" t="s">
        <v>346</v>
      </c>
    </row>
    <row r="22" spans="1:21">
      <c r="B22" s="16" t="s">
        <v>744</v>
      </c>
      <c r="C22" s="16" t="s">
        <v>353</v>
      </c>
    </row>
    <row r="23" spans="1:21">
      <c r="B23" s="16" t="s">
        <v>745</v>
      </c>
      <c r="C23" s="16" t="s">
        <v>746</v>
      </c>
    </row>
    <row r="32" spans="1:21">
      <c r="A32" s="24" t="s">
        <v>747</v>
      </c>
      <c r="B32" s="24"/>
      <c r="C32" s="24"/>
      <c r="D32" s="27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4" s="5" customFormat="1" spans="1:2">
      <c r="A34" s="28" t="s">
        <v>748</v>
      </c>
      <c r="B34" s="5" t="s">
        <v>749</v>
      </c>
    </row>
    <row r="35" s="5" customFormat="1" spans="1:2">
      <c r="A35" s="28" t="s">
        <v>750</v>
      </c>
      <c r="B35" s="5" t="s">
        <v>751</v>
      </c>
    </row>
    <row r="36" s="5" customFormat="1" spans="1:2">
      <c r="A36" s="8" t="s">
        <v>752</v>
      </c>
      <c r="B36" s="5" t="s">
        <v>753</v>
      </c>
    </row>
    <row r="37" s="5" customFormat="1" spans="1:2">
      <c r="A37" s="8"/>
    </row>
    <row r="38" s="5" customFormat="1" spans="1:2">
      <c r="A38" s="28" t="s">
        <v>748</v>
      </c>
      <c r="B38" s="5" t="s">
        <v>754</v>
      </c>
    </row>
    <row r="39" s="5" customFormat="1" spans="1:2">
      <c r="A39" s="28" t="s">
        <v>750</v>
      </c>
      <c r="B39" s="5" t="s">
        <v>755</v>
      </c>
    </row>
    <row r="40" s="5" customFormat="1" spans="1:2">
      <c r="A40" s="28" t="s">
        <v>756</v>
      </c>
      <c r="B40" s="5" t="s">
        <v>757</v>
      </c>
    </row>
    <row r="41" s="5" customFormat="1" spans="1:2">
      <c r="A41" s="28" t="s">
        <v>752</v>
      </c>
      <c r="B41" s="5" t="s">
        <v>758</v>
      </c>
    </row>
    <row r="42" s="5" customFormat="1" spans="1:2">
      <c r="A42" s="8" t="s">
        <v>756</v>
      </c>
      <c r="B42" s="5" t="s">
        <v>759</v>
      </c>
    </row>
    <row r="43" s="5" customFormat="1"/>
    <row r="44" s="5" customFormat="1" spans="1:2">
      <c r="A44" s="28" t="s">
        <v>748</v>
      </c>
      <c r="B44" s="5" t="s">
        <v>760</v>
      </c>
    </row>
    <row r="45" s="5" customFormat="1" spans="1:2">
      <c r="A45" s="28" t="s">
        <v>750</v>
      </c>
      <c r="B45" s="5" t="s">
        <v>761</v>
      </c>
    </row>
    <row r="46" s="5" customFormat="1" spans="1:2">
      <c r="A46" s="8" t="s">
        <v>752</v>
      </c>
      <c r="B46" s="5" t="s">
        <v>762</v>
      </c>
    </row>
    <row r="48" spans="1:2">
      <c r="A48" s="28" t="s">
        <v>748</v>
      </c>
      <c r="B48" s="5" t="s">
        <v>763</v>
      </c>
    </row>
    <row r="49" spans="1:7">
      <c r="A49" s="28"/>
      <c r="B49" s="5"/>
    </row>
    <row r="50" spans="1:7">
      <c r="A50" s="28" t="s">
        <v>748</v>
      </c>
      <c r="B50" s="5" t="s">
        <v>764</v>
      </c>
      <c r="E50" s="5"/>
      <c r="F50" s="5"/>
      <c r="G50" s="5"/>
    </row>
    <row r="51" spans="1:7">
      <c r="A51" s="28"/>
      <c r="B51" s="5"/>
      <c r="E51" s="5"/>
      <c r="F51" s="5"/>
      <c r="G51" s="5"/>
    </row>
    <row r="52" spans="1:7">
      <c r="A52" s="28" t="s">
        <v>748</v>
      </c>
      <c r="B52" s="5" t="s">
        <v>765</v>
      </c>
      <c r="G52" s="5"/>
    </row>
    <row r="53" spans="1:7">
      <c r="A53" s="28" t="s">
        <v>750</v>
      </c>
      <c r="B53" s="5" t="s">
        <v>766</v>
      </c>
      <c r="G53" s="5"/>
    </row>
    <row r="54" spans="1:7">
      <c r="A54" s="8" t="s">
        <v>752</v>
      </c>
      <c r="B54" s="5" t="s">
        <v>767</v>
      </c>
      <c r="G54" s="5"/>
    </row>
    <row r="56" spans="1:7">
      <c r="A56" s="28" t="s">
        <v>748</v>
      </c>
      <c r="B56" s="5" t="s">
        <v>768</v>
      </c>
    </row>
    <row r="57" spans="1:7">
      <c r="A57" s="28" t="s">
        <v>750</v>
      </c>
      <c r="B57" s="5" t="s">
        <v>769</v>
      </c>
      <c r="E57" s="5"/>
      <c r="F57" s="5"/>
    </row>
    <row r="58" spans="1:7">
      <c r="A58" s="8" t="s">
        <v>752</v>
      </c>
      <c r="B58" s="5" t="s">
        <v>770</v>
      </c>
      <c r="C58" s="5"/>
    </row>
    <row r="60" spans="1:7">
      <c r="A60" s="28" t="s">
        <v>748</v>
      </c>
      <c r="B60" s="5" t="s">
        <v>771</v>
      </c>
    </row>
    <row r="61" spans="1:7">
      <c r="A61" s="28" t="s">
        <v>750</v>
      </c>
      <c r="B61" s="5" t="s">
        <v>772</v>
      </c>
    </row>
    <row r="62" spans="1:7">
      <c r="A62" s="8" t="s">
        <v>752</v>
      </c>
      <c r="B62" s="5" t="s">
        <v>773</v>
      </c>
    </row>
    <row r="64" spans="1:7">
      <c r="A64" s="28" t="s">
        <v>748</v>
      </c>
      <c r="B64" s="5" t="s">
        <v>774</v>
      </c>
    </row>
    <row r="65" spans="1:6">
      <c r="A65" s="28" t="s">
        <v>750</v>
      </c>
      <c r="B65" s="5" t="s">
        <v>775</v>
      </c>
    </row>
    <row r="66" spans="1:6">
      <c r="A66" s="28" t="s">
        <v>756</v>
      </c>
      <c r="B66" s="5" t="s">
        <v>776</v>
      </c>
      <c r="C66" s="5"/>
    </row>
    <row r="67" spans="1:6">
      <c r="A67" s="28" t="s">
        <v>756</v>
      </c>
      <c r="B67" s="5" t="s">
        <v>777</v>
      </c>
      <c r="C67" s="5"/>
    </row>
    <row r="68" spans="1:6">
      <c r="A68" s="28" t="s">
        <v>756</v>
      </c>
      <c r="B68" s="5" t="s">
        <v>778</v>
      </c>
      <c r="C68" s="5"/>
    </row>
    <row r="69" spans="1:6">
      <c r="A69" s="28" t="s">
        <v>756</v>
      </c>
      <c r="B69" t="s">
        <v>779</v>
      </c>
    </row>
    <row r="70" spans="1:6">
      <c r="A70" s="28" t="s">
        <v>756</v>
      </c>
      <c r="B70" t="s">
        <v>780</v>
      </c>
    </row>
    <row r="71" spans="1:6">
      <c r="E71" s="5"/>
      <c r="F71" s="5"/>
    </row>
    <row r="72" spans="1:6">
      <c r="A72" s="28" t="s">
        <v>748</v>
      </c>
      <c r="B72" s="5" t="s">
        <v>781</v>
      </c>
    </row>
    <row r="73" spans="1:6">
      <c r="A73" s="28" t="s">
        <v>750</v>
      </c>
      <c r="B73" s="5" t="s">
        <v>782</v>
      </c>
    </row>
    <row r="74" spans="1:6">
      <c r="A74" s="8" t="s">
        <v>752</v>
      </c>
      <c r="B74" s="5" t="s">
        <v>783</v>
      </c>
      <c r="C74" s="5"/>
    </row>
    <row r="76" spans="1:6">
      <c r="A76" s="28" t="s">
        <v>748</v>
      </c>
      <c r="B76" t="s">
        <v>784</v>
      </c>
    </row>
    <row r="77" spans="1:6">
      <c r="A77" s="28" t="s">
        <v>750</v>
      </c>
      <c r="B77" t="s">
        <v>785</v>
      </c>
    </row>
    <row r="78" spans="1:6">
      <c r="A78" s="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tabSelected="1" workbookViewId="0">
      <selection activeCell="K16" sqref="K16"/>
    </sheetView>
  </sheetViews>
  <sheetFormatPr defaultColWidth="8.66666666666667" defaultRowHeight="17.4"/>
  <cols>
    <col min="1" max="1" width="6.91666666666667" customWidth="1"/>
    <col min="2" max="2" width="9.5" customWidth="1"/>
    <col min="3" max="3" width="35.25" customWidth="1"/>
    <col min="4" max="4" width="17.5" customWidth="1"/>
    <col min="5" max="5" width="14.5833333333333" customWidth="1"/>
    <col min="6" max="6" width="21.0833333333333" customWidth="1"/>
    <col min="7" max="7" width="22.8333333333333" customWidth="1"/>
    <col min="8" max="8" width="8.75" customWidth="1"/>
    <col min="9" max="9" width="19.1666666666667" customWidth="1"/>
    <col min="10" max="10" width="12.25" customWidth="1"/>
    <col min="11" max="11" width="16.75" customWidth="1"/>
    <col min="12" max="12" width="36.75" customWidth="1"/>
    <col min="13" max="13" width="25.1666666666667" customWidth="1"/>
    <col min="14" max="14" width="8.83333333333333" customWidth="1"/>
    <col min="15" max="15" width="23" customWidth="1"/>
    <col min="16" max="16" width="28.4166666666667" customWidth="1"/>
  </cols>
  <sheetData>
    <row r="1" spans="1:14">
      <c r="A1" s="3" t="s">
        <v>0</v>
      </c>
      <c r="B1" t="s">
        <v>1</v>
      </c>
      <c r="C1" t="s">
        <v>2</v>
      </c>
      <c r="D1" t="s">
        <v>5</v>
      </c>
      <c r="E1" t="s">
        <v>786</v>
      </c>
      <c r="F1" t="s">
        <v>787</v>
      </c>
      <c r="G1" t="s">
        <v>788</v>
      </c>
      <c r="H1" t="s">
        <v>789</v>
      </c>
      <c r="I1" t="s">
        <v>790</v>
      </c>
      <c r="J1" t="s">
        <v>791</v>
      </c>
      <c r="K1" t="s">
        <v>792</v>
      </c>
      <c r="L1" t="s">
        <v>793</v>
      </c>
      <c r="M1" t="s">
        <v>794</v>
      </c>
      <c r="N1" t="s">
        <v>795</v>
      </c>
    </row>
    <row r="2" spans="1:14">
      <c r="A2" s="4" t="s">
        <v>28</v>
      </c>
      <c r="B2" t="s">
        <v>29</v>
      </c>
      <c r="C2" t="s">
        <v>30</v>
      </c>
      <c r="D2" t="s">
        <v>32</v>
      </c>
      <c r="E2" t="s">
        <v>796</v>
      </c>
      <c r="F2" t="s">
        <v>797</v>
      </c>
      <c r="G2" t="s">
        <v>798</v>
      </c>
      <c r="H2" t="s">
        <v>29</v>
      </c>
      <c r="I2" t="s">
        <v>799</v>
      </c>
      <c r="J2" t="s">
        <v>29</v>
      </c>
      <c r="K2" t="s">
        <v>800</v>
      </c>
      <c r="L2" t="s">
        <v>30</v>
      </c>
      <c r="M2" t="s">
        <v>35</v>
      </c>
      <c r="N2" t="s">
        <v>35</v>
      </c>
    </row>
    <row r="3" s="2" customFormat="1" ht="109" customHeight="1" spans="1:14">
      <c r="A3" s="2" t="s">
        <v>39</v>
      </c>
      <c r="B3" s="2" t="s">
        <v>801</v>
      </c>
      <c r="C3" s="2" t="s">
        <v>802</v>
      </c>
      <c r="E3" s="2" t="s">
        <v>803</v>
      </c>
      <c r="F3" s="2" t="s">
        <v>804</v>
      </c>
      <c r="G3" s="2" t="s">
        <v>805</v>
      </c>
      <c r="H3" s="2" t="s">
        <v>806</v>
      </c>
      <c r="I3" s="2" t="s">
        <v>209</v>
      </c>
      <c r="J3" s="2" t="s">
        <v>807</v>
      </c>
      <c r="K3" s="2" t="s">
        <v>808</v>
      </c>
      <c r="L3" s="2" t="s">
        <v>68</v>
      </c>
      <c r="M3" s="2" t="s">
        <v>809</v>
      </c>
      <c r="N3" s="2" t="s">
        <v>810</v>
      </c>
    </row>
    <row r="4" s="5" customFormat="1" spans="1:14">
      <c r="A4" s="3" t="s">
        <v>39</v>
      </c>
      <c r="B4" s="5" t="s">
        <v>811</v>
      </c>
      <c r="C4" s="5" t="s">
        <v>812</v>
      </c>
      <c r="D4" s="5" t="s">
        <v>60</v>
      </c>
      <c r="E4" s="5" t="s">
        <v>813</v>
      </c>
      <c r="F4" s="5" t="s">
        <v>814</v>
      </c>
      <c r="G4" s="5" t="s">
        <v>815</v>
      </c>
      <c r="H4" s="5" t="s">
        <v>816</v>
      </c>
      <c r="I4" s="5" t="s">
        <v>817</v>
      </c>
      <c r="J4" s="5" t="s">
        <v>818</v>
      </c>
      <c r="K4" s="5" t="s">
        <v>819</v>
      </c>
      <c r="L4" s="5" t="s">
        <v>68</v>
      </c>
      <c r="M4" s="5" t="s">
        <v>820</v>
      </c>
      <c r="N4" s="5" t="s">
        <v>821</v>
      </c>
    </row>
    <row r="5" spans="1:14">
      <c r="B5">
        <v>1001</v>
      </c>
      <c r="C5" t="s">
        <v>822</v>
      </c>
      <c r="D5" t="s">
        <v>93</v>
      </c>
      <c r="E5" s="16" t="s">
        <v>823</v>
      </c>
      <c r="F5" s="16" t="s">
        <v>824</v>
      </c>
      <c r="G5" s="16" t="s">
        <v>825</v>
      </c>
      <c r="H5">
        <v>1000</v>
      </c>
      <c r="I5" t="s">
        <v>826</v>
      </c>
      <c r="J5">
        <v>3</v>
      </c>
      <c r="K5">
        <v>5</v>
      </c>
      <c r="L5" t="s">
        <v>827</v>
      </c>
      <c r="M5" t="b">
        <v>1</v>
      </c>
      <c r="N5" t="b">
        <v>1</v>
      </c>
    </row>
    <row r="6" spans="1:14">
      <c r="B6">
        <v>1002</v>
      </c>
      <c r="C6" t="s">
        <v>828</v>
      </c>
      <c r="D6" t="s">
        <v>93</v>
      </c>
      <c r="E6" s="16" t="s">
        <v>829</v>
      </c>
      <c r="F6" s="16" t="s">
        <v>824</v>
      </c>
      <c r="G6" s="16" t="s">
        <v>825</v>
      </c>
      <c r="H6">
        <v>1000</v>
      </c>
      <c r="I6" t="s">
        <v>826</v>
      </c>
      <c r="J6">
        <v>3</v>
      </c>
      <c r="K6">
        <v>5</v>
      </c>
      <c r="L6" t="s">
        <v>827</v>
      </c>
      <c r="M6" t="b">
        <v>1</v>
      </c>
      <c r="N6" t="b">
        <v>1</v>
      </c>
    </row>
    <row r="7" spans="1:14">
      <c r="B7">
        <v>2001</v>
      </c>
      <c r="C7" t="s">
        <v>830</v>
      </c>
      <c r="D7" t="s">
        <v>93</v>
      </c>
      <c r="E7" s="16" t="s">
        <v>830</v>
      </c>
      <c r="F7" s="16" t="s">
        <v>824</v>
      </c>
      <c r="G7" s="16" t="s">
        <v>825</v>
      </c>
      <c r="H7">
        <v>1000</v>
      </c>
      <c r="I7" t="s">
        <v>826</v>
      </c>
      <c r="J7">
        <v>3</v>
      </c>
      <c r="K7">
        <v>5</v>
      </c>
      <c r="L7" t="s">
        <v>827</v>
      </c>
      <c r="M7" t="b">
        <v>0</v>
      </c>
      <c r="N7" t="b">
        <v>1</v>
      </c>
    </row>
    <row r="8" spans="1:14">
      <c r="B8">
        <v>2002</v>
      </c>
      <c r="C8" t="s">
        <v>831</v>
      </c>
      <c r="D8" t="s">
        <v>832</v>
      </c>
      <c r="E8" s="16" t="s">
        <v>823</v>
      </c>
      <c r="F8" s="16" t="s">
        <v>833</v>
      </c>
      <c r="G8" s="16" t="s">
        <v>825</v>
      </c>
      <c r="H8">
        <v>100</v>
      </c>
      <c r="I8" t="s">
        <v>826</v>
      </c>
      <c r="J8">
        <v>3</v>
      </c>
      <c r="K8">
        <v>5</v>
      </c>
      <c r="L8" t="s">
        <v>827</v>
      </c>
      <c r="M8" t="b">
        <v>0</v>
      </c>
      <c r="N8" t="b">
        <v>1</v>
      </c>
    </row>
    <row r="9" spans="1:14">
      <c r="B9">
        <v>2003</v>
      </c>
      <c r="C9" t="s">
        <v>834</v>
      </c>
      <c r="D9" t="s">
        <v>832</v>
      </c>
      <c r="E9" s="16" t="s">
        <v>823</v>
      </c>
      <c r="F9" s="16" t="s">
        <v>833</v>
      </c>
      <c r="G9" s="16" t="s">
        <v>825</v>
      </c>
      <c r="H9">
        <v>100</v>
      </c>
      <c r="I9" t="s">
        <v>826</v>
      </c>
      <c r="J9">
        <v>3</v>
      </c>
      <c r="K9">
        <v>5</v>
      </c>
      <c r="L9" t="s">
        <v>827</v>
      </c>
      <c r="M9" t="b">
        <v>0</v>
      </c>
      <c r="N9" t="b">
        <v>1</v>
      </c>
    </row>
    <row r="10" spans="1:14">
      <c r="B10">
        <v>3001</v>
      </c>
      <c r="C10" t="s">
        <v>835</v>
      </c>
      <c r="D10" t="s">
        <v>836</v>
      </c>
      <c r="E10" t="s">
        <v>837</v>
      </c>
      <c r="F10" s="16" t="s">
        <v>824</v>
      </c>
      <c r="G10" s="16" t="s">
        <v>838</v>
      </c>
      <c r="H10">
        <v>0</v>
      </c>
      <c r="I10" t="s">
        <v>839</v>
      </c>
      <c r="J10">
        <v>0</v>
      </c>
      <c r="K10">
        <v>5</v>
      </c>
      <c r="L10" t="s">
        <v>827</v>
      </c>
      <c r="M10" t="b">
        <v>1</v>
      </c>
      <c r="N10" s="9" t="b">
        <v>0</v>
      </c>
    </row>
    <row r="11" spans="1:14">
      <c r="B11">
        <v>4001</v>
      </c>
      <c r="C11" t="s">
        <v>840</v>
      </c>
      <c r="E11" s="16" t="s">
        <v>823</v>
      </c>
      <c r="F11" s="16" t="s">
        <v>824</v>
      </c>
      <c r="G11" s="16" t="s">
        <v>825</v>
      </c>
      <c r="H11">
        <v>0</v>
      </c>
      <c r="I11" t="s">
        <v>839</v>
      </c>
      <c r="J11">
        <v>3</v>
      </c>
      <c r="K11">
        <v>5</v>
      </c>
      <c r="L11" t="s">
        <v>841</v>
      </c>
      <c r="M11" t="b">
        <v>1</v>
      </c>
      <c r="N11" s="9" t="b">
        <v>0</v>
      </c>
    </row>
    <row r="12" spans="1:14">
      <c r="B12">
        <v>4002</v>
      </c>
      <c r="C12" t="s">
        <v>842</v>
      </c>
      <c r="D12" t="s">
        <v>843</v>
      </c>
      <c r="E12" s="16" t="s">
        <v>823</v>
      </c>
      <c r="F12" s="16" t="s">
        <v>844</v>
      </c>
      <c r="G12" s="16" t="s">
        <v>825</v>
      </c>
      <c r="H12">
        <v>1000</v>
      </c>
      <c r="I12" t="s">
        <v>826</v>
      </c>
      <c r="J12">
        <v>3</v>
      </c>
      <c r="K12">
        <v>5</v>
      </c>
      <c r="L12" t="s">
        <v>827</v>
      </c>
      <c r="M12" t="b">
        <v>0</v>
      </c>
      <c r="N12" t="b">
        <v>1</v>
      </c>
    </row>
    <row r="17" spans="7:7">
      <c r="G17" s="16"/>
    </row>
    <row r="18" spans="7:7">
      <c r="G18" s="16"/>
    </row>
    <row r="19" spans="7:7">
      <c r="G19" s="1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topLeftCell="A6" workbookViewId="0">
      <selection activeCell="U20" sqref="U20:U34"/>
    </sheetView>
  </sheetViews>
  <sheetFormatPr defaultColWidth="8.66666666666667" defaultRowHeight="17.4"/>
  <cols>
    <col min="1" max="1" width="6.91666666666667" customWidth="1"/>
    <col min="2" max="2" width="5.16666666666667" customWidth="1"/>
    <col min="3" max="3" width="8.5" customWidth="1"/>
    <col min="4" max="5" width="11.5833333333333" customWidth="1"/>
    <col min="6" max="6" width="10.8333333333333" customWidth="1"/>
    <col min="7" max="7" width="16.9166666666667" customWidth="1"/>
    <col min="8" max="8" width="10.8333333333333" customWidth="1"/>
    <col min="9" max="9" width="13.4166666666667" customWidth="1"/>
    <col min="10" max="10" width="14" customWidth="1"/>
    <col min="11" max="13" width="7.83333333333333" customWidth="1"/>
    <col min="14" max="14" width="14.25" customWidth="1"/>
    <col min="15" max="15" width="13.1666666666667" customWidth="1"/>
    <col min="16" max="16" width="12" customWidth="1"/>
    <col min="17" max="17" width="21" customWidth="1"/>
    <col min="18" max="18" width="18.6666666666667" customWidth="1"/>
    <col min="19" max="19" width="13.5" customWidth="1"/>
    <col min="20" max="20" width="8.75" customWidth="1"/>
    <col min="21" max="21" width="20" customWidth="1"/>
    <col min="22" max="22" width="31.1666666666667" customWidth="1"/>
  </cols>
  <sheetData>
    <row r="1" spans="1:22">
      <c r="A1" s="3" t="s">
        <v>0</v>
      </c>
      <c r="B1" t="s">
        <v>1</v>
      </c>
      <c r="C1" t="s">
        <v>845</v>
      </c>
      <c r="D1" t="s">
        <v>846</v>
      </c>
      <c r="E1" t="s">
        <v>847</v>
      </c>
      <c r="F1" t="s">
        <v>848</v>
      </c>
      <c r="G1" t="s">
        <v>849</v>
      </c>
      <c r="H1" t="s">
        <v>850</v>
      </c>
      <c r="I1" t="s">
        <v>851</v>
      </c>
      <c r="J1" t="s">
        <v>852</v>
      </c>
      <c r="N1" t="s">
        <v>853</v>
      </c>
      <c r="O1" t="s">
        <v>795</v>
      </c>
      <c r="P1" t="s">
        <v>854</v>
      </c>
      <c r="Q1" t="s">
        <v>855</v>
      </c>
      <c r="R1" t="s">
        <v>856</v>
      </c>
      <c r="S1" t="s">
        <v>857</v>
      </c>
      <c r="T1" t="s">
        <v>209</v>
      </c>
      <c r="U1" t="s">
        <v>858</v>
      </c>
      <c r="V1" t="s">
        <v>859</v>
      </c>
    </row>
    <row r="2" spans="1:22">
      <c r="A2" s="3" t="s">
        <v>28</v>
      </c>
      <c r="B2" t="s">
        <v>29</v>
      </c>
      <c r="C2" t="s">
        <v>29</v>
      </c>
      <c r="D2" t="s">
        <v>29</v>
      </c>
      <c r="E2" t="s">
        <v>32</v>
      </c>
      <c r="F2" t="s">
        <v>29</v>
      </c>
      <c r="G2" t="s">
        <v>29</v>
      </c>
      <c r="H2" t="s">
        <v>35</v>
      </c>
      <c r="I2" t="s">
        <v>29</v>
      </c>
      <c r="J2" t="s">
        <v>29</v>
      </c>
      <c r="N2" t="s">
        <v>29</v>
      </c>
      <c r="O2" t="s">
        <v>35</v>
      </c>
      <c r="P2" t="s">
        <v>29</v>
      </c>
      <c r="Q2" t="s">
        <v>29</v>
      </c>
      <c r="R2" t="s">
        <v>29</v>
      </c>
      <c r="S2" t="s">
        <v>29</v>
      </c>
      <c r="T2" t="s">
        <v>209</v>
      </c>
      <c r="U2" t="s">
        <v>29</v>
      </c>
      <c r="V2" t="s">
        <v>29</v>
      </c>
    </row>
    <row r="3" s="2" customFormat="1" ht="128" customHeight="1" spans="1:22">
      <c r="A3" s="4" t="s">
        <v>39</v>
      </c>
      <c r="B3" s="2" t="s">
        <v>209</v>
      </c>
      <c r="C3" s="2" t="s">
        <v>860</v>
      </c>
      <c r="D3" s="2" t="s">
        <v>861</v>
      </c>
      <c r="F3" s="2" t="s">
        <v>862</v>
      </c>
      <c r="G3" s="2" t="s">
        <v>849</v>
      </c>
      <c r="H3" s="2" t="s">
        <v>863</v>
      </c>
      <c r="I3" s="2" t="s">
        <v>864</v>
      </c>
      <c r="J3" s="2" t="s">
        <v>865</v>
      </c>
      <c r="K3" s="2" t="s">
        <v>866</v>
      </c>
      <c r="L3" s="2" t="s">
        <v>866</v>
      </c>
      <c r="M3" s="2" t="s">
        <v>867</v>
      </c>
      <c r="N3" s="2" t="s">
        <v>868</v>
      </c>
      <c r="O3" s="2" t="s">
        <v>821</v>
      </c>
      <c r="P3" s="2" t="s">
        <v>869</v>
      </c>
      <c r="Q3" s="2" t="s">
        <v>870</v>
      </c>
      <c r="R3" s="2" t="s">
        <v>871</v>
      </c>
      <c r="S3" s="2" t="s">
        <v>872</v>
      </c>
      <c r="T3" s="2"/>
      <c r="U3" s="2" t="s">
        <v>873</v>
      </c>
      <c r="V3" s="2" t="s">
        <v>874</v>
      </c>
    </row>
    <row r="4" spans="1:22">
      <c r="A4" s="4" t="s">
        <v>39</v>
      </c>
      <c r="B4" t="s">
        <v>875</v>
      </c>
      <c r="C4" t="s">
        <v>876</v>
      </c>
      <c r="D4" t="s">
        <v>877</v>
      </c>
      <c r="F4" t="s">
        <v>811</v>
      </c>
      <c r="G4" t="s">
        <v>878</v>
      </c>
      <c r="H4" t="s">
        <v>879</v>
      </c>
      <c r="I4" t="s">
        <v>880</v>
      </c>
      <c r="J4" t="s">
        <v>881</v>
      </c>
      <c r="K4" t="s">
        <v>882</v>
      </c>
      <c r="L4" t="s">
        <v>883</v>
      </c>
      <c r="M4" s="23">
        <v>10</v>
      </c>
      <c r="N4" t="s">
        <v>884</v>
      </c>
      <c r="O4" t="s">
        <v>821</v>
      </c>
      <c r="P4" t="s">
        <v>885</v>
      </c>
      <c r="Q4" t="s">
        <v>886</v>
      </c>
      <c r="R4" t="s">
        <v>887</v>
      </c>
      <c r="S4" t="s">
        <v>888</v>
      </c>
      <c r="U4" t="s">
        <v>889</v>
      </c>
      <c r="V4" t="s">
        <v>890</v>
      </c>
    </row>
    <row r="5" spans="1:22">
      <c r="B5">
        <v>1001</v>
      </c>
      <c r="C5">
        <v>1002</v>
      </c>
      <c r="D5">
        <v>1000</v>
      </c>
      <c r="E5" t="s">
        <v>93</v>
      </c>
      <c r="F5">
        <v>1001</v>
      </c>
      <c r="G5">
        <v>2001</v>
      </c>
      <c r="H5" t="b">
        <v>0</v>
      </c>
      <c r="I5">
        <f>SUM($J$5:J5)</f>
        <v>300</v>
      </c>
      <c r="J5">
        <f>M5*$M$4</f>
        <v>300</v>
      </c>
      <c r="K5">
        <f>J5/60</f>
        <v>5</v>
      </c>
      <c r="L5">
        <f>SUM($K$5:K5)</f>
        <v>5</v>
      </c>
      <c r="M5">
        <v>30</v>
      </c>
      <c r="N5">
        <v>1</v>
      </c>
      <c r="O5" t="b">
        <v>1</v>
      </c>
      <c r="P5">
        <v>700101</v>
      </c>
      <c r="Q5">
        <v>120</v>
      </c>
      <c r="R5">
        <v>0</v>
      </c>
      <c r="S5">
        <v>0</v>
      </c>
      <c r="U5">
        <v>-1000</v>
      </c>
      <c r="V5">
        <v>0</v>
      </c>
    </row>
    <row r="6" spans="1:22">
      <c r="B6">
        <v>1002</v>
      </c>
      <c r="C6">
        <v>1003</v>
      </c>
      <c r="D6">
        <v>2000</v>
      </c>
      <c r="E6" t="s">
        <v>93</v>
      </c>
      <c r="F6">
        <v>1002</v>
      </c>
      <c r="G6">
        <v>2001</v>
      </c>
      <c r="H6" t="b">
        <v>0</v>
      </c>
      <c r="I6">
        <f>SUM($J$5:J6)</f>
        <v>660</v>
      </c>
      <c r="J6">
        <f t="shared" ref="J6:J16" si="0">M6*$M$4</f>
        <v>360</v>
      </c>
      <c r="K6">
        <f t="shared" ref="K6:K16" si="1">J6/60</f>
        <v>6</v>
      </c>
      <c r="L6">
        <f>SUM($K$5:K6)</f>
        <v>11</v>
      </c>
      <c r="M6">
        <v>36</v>
      </c>
      <c r="N6">
        <v>1</v>
      </c>
      <c r="O6" t="b">
        <v>1</v>
      </c>
      <c r="P6">
        <v>700102</v>
      </c>
      <c r="Q6">
        <v>120</v>
      </c>
      <c r="R6">
        <v>0</v>
      </c>
      <c r="S6">
        <v>0</v>
      </c>
      <c r="U6">
        <v>0</v>
      </c>
      <c r="V6">
        <v>0</v>
      </c>
    </row>
    <row r="7" spans="1:22">
      <c r="B7">
        <v>1003</v>
      </c>
      <c r="C7">
        <v>1004</v>
      </c>
      <c r="D7">
        <v>3000</v>
      </c>
      <c r="E7" t="s">
        <v>93</v>
      </c>
      <c r="F7">
        <v>2001</v>
      </c>
      <c r="H7" t="b">
        <v>0</v>
      </c>
      <c r="I7">
        <f>SUM($J$5:J7)</f>
        <v>1140</v>
      </c>
      <c r="J7">
        <f t="shared" si="0"/>
        <v>480</v>
      </c>
      <c r="K7">
        <f t="shared" si="1"/>
        <v>8</v>
      </c>
      <c r="L7">
        <f>SUM($K$5:K7)</f>
        <v>19</v>
      </c>
      <c r="M7">
        <v>48</v>
      </c>
      <c r="N7">
        <v>1</v>
      </c>
      <c r="O7" t="b">
        <v>1</v>
      </c>
      <c r="P7">
        <v>0</v>
      </c>
      <c r="Q7">
        <v>0</v>
      </c>
      <c r="R7">
        <v>0</v>
      </c>
      <c r="S7">
        <v>0</v>
      </c>
      <c r="U7">
        <v>0</v>
      </c>
      <c r="V7">
        <v>0</v>
      </c>
    </row>
    <row r="8" spans="1:22">
      <c r="B8">
        <v>1004</v>
      </c>
      <c r="C8">
        <v>1005</v>
      </c>
      <c r="D8">
        <v>4000</v>
      </c>
      <c r="E8" t="s">
        <v>93</v>
      </c>
      <c r="F8">
        <v>1001</v>
      </c>
      <c r="G8">
        <v>2001</v>
      </c>
      <c r="H8" t="b">
        <v>0</v>
      </c>
      <c r="I8">
        <f>SUM($J$5:J8)</f>
        <v>1620</v>
      </c>
      <c r="J8">
        <f t="shared" si="0"/>
        <v>480</v>
      </c>
      <c r="K8">
        <f t="shared" si="1"/>
        <v>8</v>
      </c>
      <c r="L8">
        <f>SUM($K$5:K8)</f>
        <v>27</v>
      </c>
      <c r="M8">
        <v>48</v>
      </c>
      <c r="N8">
        <v>1</v>
      </c>
      <c r="O8" t="b">
        <v>1</v>
      </c>
      <c r="P8">
        <v>700104</v>
      </c>
      <c r="Q8">
        <v>120</v>
      </c>
      <c r="R8">
        <v>0</v>
      </c>
      <c r="S8">
        <v>0</v>
      </c>
      <c r="U8">
        <v>0</v>
      </c>
      <c r="V8">
        <v>0</v>
      </c>
    </row>
    <row r="9" spans="1:22">
      <c r="B9">
        <v>1005</v>
      </c>
      <c r="C9">
        <v>1006</v>
      </c>
      <c r="D9">
        <v>5000</v>
      </c>
      <c r="E9" t="s">
        <v>93</v>
      </c>
      <c r="F9">
        <v>1002</v>
      </c>
      <c r="G9">
        <v>2001</v>
      </c>
      <c r="H9" t="b">
        <v>0</v>
      </c>
      <c r="I9">
        <f>SUM($J$5:J9)</f>
        <v>2220</v>
      </c>
      <c r="J9">
        <f t="shared" si="0"/>
        <v>600</v>
      </c>
      <c r="K9">
        <f t="shared" si="1"/>
        <v>10</v>
      </c>
      <c r="L9">
        <f>SUM($K$5:K9)</f>
        <v>37</v>
      </c>
      <c r="M9">
        <v>60</v>
      </c>
      <c r="N9">
        <v>1</v>
      </c>
      <c r="O9" t="b">
        <v>1</v>
      </c>
      <c r="P9">
        <v>700105</v>
      </c>
      <c r="Q9">
        <v>120</v>
      </c>
      <c r="R9">
        <v>0</v>
      </c>
      <c r="S9">
        <v>0</v>
      </c>
      <c r="U9">
        <v>0</v>
      </c>
      <c r="V9">
        <v>500005</v>
      </c>
    </row>
    <row r="10" spans="1:22">
      <c r="B10">
        <v>1006</v>
      </c>
      <c r="C10">
        <v>1007</v>
      </c>
      <c r="D10">
        <v>6000</v>
      </c>
      <c r="E10" t="s">
        <v>93</v>
      </c>
      <c r="F10">
        <v>2001</v>
      </c>
      <c r="H10" t="b">
        <v>0</v>
      </c>
      <c r="I10">
        <f>SUM($J$5:J10)</f>
        <v>2820</v>
      </c>
      <c r="J10">
        <f t="shared" si="0"/>
        <v>600</v>
      </c>
      <c r="K10">
        <f t="shared" si="1"/>
        <v>10</v>
      </c>
      <c r="L10">
        <f>SUM($K$5:K10)</f>
        <v>47</v>
      </c>
      <c r="M10">
        <v>60</v>
      </c>
      <c r="N10">
        <v>1</v>
      </c>
      <c r="O10" t="b">
        <v>1</v>
      </c>
      <c r="P10">
        <v>0</v>
      </c>
      <c r="Q10">
        <v>0</v>
      </c>
      <c r="R10">
        <v>0</v>
      </c>
      <c r="S10">
        <v>0</v>
      </c>
      <c r="U10">
        <v>0</v>
      </c>
      <c r="V10">
        <v>0</v>
      </c>
    </row>
    <row r="11" spans="1:22">
      <c r="B11">
        <v>1007</v>
      </c>
      <c r="C11">
        <v>1008</v>
      </c>
      <c r="D11">
        <v>7000</v>
      </c>
      <c r="E11" t="s">
        <v>93</v>
      </c>
      <c r="F11">
        <v>1001</v>
      </c>
      <c r="G11">
        <v>2001</v>
      </c>
      <c r="H11" t="b">
        <v>0</v>
      </c>
      <c r="I11">
        <f>SUM($J$5:J11)</f>
        <v>3540</v>
      </c>
      <c r="J11">
        <f t="shared" si="0"/>
        <v>720</v>
      </c>
      <c r="K11">
        <f t="shared" si="1"/>
        <v>12</v>
      </c>
      <c r="L11">
        <f>SUM($K$5:K11)</f>
        <v>59</v>
      </c>
      <c r="M11">
        <v>72</v>
      </c>
      <c r="N11">
        <v>1</v>
      </c>
      <c r="O11" t="b">
        <v>1</v>
      </c>
      <c r="P11">
        <v>700107</v>
      </c>
      <c r="Q11">
        <v>120</v>
      </c>
      <c r="R11">
        <v>0</v>
      </c>
      <c r="S11">
        <v>0</v>
      </c>
      <c r="U11">
        <v>0</v>
      </c>
      <c r="V11">
        <v>0</v>
      </c>
    </row>
    <row r="12" spans="1:22">
      <c r="B12">
        <v>1008</v>
      </c>
      <c r="C12">
        <v>1009</v>
      </c>
      <c r="D12">
        <v>8000</v>
      </c>
      <c r="E12" t="s">
        <v>93</v>
      </c>
      <c r="F12">
        <v>1002</v>
      </c>
      <c r="G12">
        <v>2001</v>
      </c>
      <c r="H12" t="b">
        <v>0</v>
      </c>
      <c r="I12">
        <f>SUM($J$5:J12)</f>
        <v>4260</v>
      </c>
      <c r="J12">
        <f t="shared" si="0"/>
        <v>720</v>
      </c>
      <c r="K12">
        <f t="shared" si="1"/>
        <v>12</v>
      </c>
      <c r="L12">
        <f>SUM($K$5:K12)</f>
        <v>71</v>
      </c>
      <c r="M12">
        <v>72</v>
      </c>
      <c r="N12">
        <v>1</v>
      </c>
      <c r="O12" t="b">
        <v>1</v>
      </c>
      <c r="P12">
        <v>700108</v>
      </c>
      <c r="Q12">
        <v>120</v>
      </c>
      <c r="R12">
        <v>0</v>
      </c>
      <c r="S12">
        <v>0</v>
      </c>
      <c r="U12">
        <v>0</v>
      </c>
      <c r="V12">
        <v>0</v>
      </c>
    </row>
    <row r="13" spans="1:22">
      <c r="B13">
        <v>1009</v>
      </c>
      <c r="C13">
        <v>1010</v>
      </c>
      <c r="D13">
        <v>9000</v>
      </c>
      <c r="E13" t="s">
        <v>93</v>
      </c>
      <c r="F13">
        <v>2001</v>
      </c>
      <c r="H13" t="b">
        <v>0</v>
      </c>
      <c r="I13">
        <f>SUM($J$5:J13)</f>
        <v>5160</v>
      </c>
      <c r="J13">
        <f t="shared" si="0"/>
        <v>900</v>
      </c>
      <c r="K13">
        <f t="shared" si="1"/>
        <v>15</v>
      </c>
      <c r="L13">
        <f>SUM($K$5:K13)</f>
        <v>86</v>
      </c>
      <c r="M13">
        <v>90</v>
      </c>
      <c r="N13">
        <v>1</v>
      </c>
      <c r="O13" t="b">
        <v>1</v>
      </c>
      <c r="P13">
        <v>0</v>
      </c>
      <c r="Q13">
        <v>0</v>
      </c>
      <c r="R13">
        <v>0</v>
      </c>
      <c r="S13">
        <v>0</v>
      </c>
      <c r="U13">
        <v>0</v>
      </c>
      <c r="V13">
        <v>0</v>
      </c>
    </row>
    <row r="14" spans="1:22">
      <c r="B14">
        <v>1010</v>
      </c>
      <c r="C14">
        <v>1011</v>
      </c>
      <c r="D14">
        <v>10000</v>
      </c>
      <c r="E14" t="s">
        <v>93</v>
      </c>
      <c r="F14">
        <v>1001</v>
      </c>
      <c r="G14">
        <v>2001</v>
      </c>
      <c r="H14" t="b">
        <v>0</v>
      </c>
      <c r="I14">
        <f>SUM($J$5:J14)</f>
        <v>6060</v>
      </c>
      <c r="J14">
        <f t="shared" si="0"/>
        <v>900</v>
      </c>
      <c r="K14">
        <f t="shared" si="1"/>
        <v>15</v>
      </c>
      <c r="L14">
        <f>SUM($K$5:K14)</f>
        <v>101</v>
      </c>
      <c r="M14">
        <v>90</v>
      </c>
      <c r="N14">
        <v>1</v>
      </c>
      <c r="O14" t="b">
        <v>1</v>
      </c>
      <c r="P14">
        <v>700110</v>
      </c>
      <c r="Q14">
        <v>120</v>
      </c>
      <c r="R14">
        <v>0</v>
      </c>
      <c r="S14">
        <v>0</v>
      </c>
      <c r="U14">
        <v>0</v>
      </c>
      <c r="V14">
        <v>0</v>
      </c>
    </row>
    <row r="15" spans="1:22">
      <c r="B15">
        <v>1011</v>
      </c>
      <c r="C15">
        <v>1012</v>
      </c>
      <c r="D15">
        <v>11000</v>
      </c>
      <c r="E15" t="s">
        <v>93</v>
      </c>
      <c r="F15">
        <v>1002</v>
      </c>
      <c r="G15">
        <v>2001</v>
      </c>
      <c r="H15" t="b">
        <v>0</v>
      </c>
      <c r="I15">
        <f>SUM($J$5:J15)</f>
        <v>6960</v>
      </c>
      <c r="J15">
        <f t="shared" si="0"/>
        <v>900</v>
      </c>
      <c r="K15">
        <f t="shared" si="1"/>
        <v>15</v>
      </c>
      <c r="L15">
        <f>SUM($K$5:K15)</f>
        <v>116</v>
      </c>
      <c r="M15">
        <v>90</v>
      </c>
      <c r="N15">
        <v>1</v>
      </c>
      <c r="O15" t="b">
        <v>1</v>
      </c>
      <c r="P15">
        <v>700111</v>
      </c>
      <c r="Q15">
        <v>120</v>
      </c>
      <c r="R15">
        <v>0</v>
      </c>
      <c r="S15">
        <v>0</v>
      </c>
      <c r="U15">
        <v>0</v>
      </c>
      <c r="V15">
        <v>0</v>
      </c>
    </row>
    <row r="16" spans="1:22">
      <c r="B16">
        <v>1012</v>
      </c>
      <c r="C16">
        <v>0</v>
      </c>
      <c r="D16">
        <v>12000</v>
      </c>
      <c r="E16" t="s">
        <v>93</v>
      </c>
      <c r="F16">
        <v>2001</v>
      </c>
      <c r="H16" t="b">
        <v>0</v>
      </c>
      <c r="I16">
        <f>SUM($J$5:J16)</f>
        <v>7860</v>
      </c>
      <c r="J16">
        <f t="shared" si="0"/>
        <v>900</v>
      </c>
      <c r="K16">
        <f t="shared" si="1"/>
        <v>15</v>
      </c>
      <c r="L16">
        <f>SUM($K$5:K16)</f>
        <v>131</v>
      </c>
      <c r="M16">
        <v>90</v>
      </c>
      <c r="N16">
        <v>1</v>
      </c>
      <c r="O16" t="b">
        <v>1</v>
      </c>
      <c r="P16">
        <v>0</v>
      </c>
      <c r="Q16">
        <v>0</v>
      </c>
      <c r="R16">
        <v>0</v>
      </c>
      <c r="S16">
        <v>0</v>
      </c>
      <c r="U16">
        <v>0</v>
      </c>
      <c r="V16">
        <v>500012</v>
      </c>
    </row>
    <row r="17" spans="1:22">
      <c r="A17" t="s">
        <v>39</v>
      </c>
      <c r="B17" t="s">
        <v>209</v>
      </c>
      <c r="F17" t="s">
        <v>209</v>
      </c>
      <c r="H17" t="s">
        <v>209</v>
      </c>
      <c r="I17" t="s">
        <v>209</v>
      </c>
      <c r="J17" t="s">
        <v>209</v>
      </c>
      <c r="N17" t="s">
        <v>209</v>
      </c>
      <c r="O17" t="s">
        <v>209</v>
      </c>
      <c r="P17" t="s">
        <v>209</v>
      </c>
      <c r="R17" t="s">
        <v>209</v>
      </c>
      <c r="S17" t="s">
        <v>209</v>
      </c>
      <c r="U17" t="s">
        <v>209</v>
      </c>
      <c r="V17" t="s">
        <v>209</v>
      </c>
    </row>
    <row r="18" spans="1:22">
      <c r="B18">
        <v>2001</v>
      </c>
      <c r="C18">
        <v>0</v>
      </c>
      <c r="D18">
        <v>0</v>
      </c>
      <c r="E18" t="s">
        <v>93</v>
      </c>
      <c r="F18">
        <v>1001</v>
      </c>
      <c r="G18">
        <v>2001</v>
      </c>
      <c r="H18" t="b">
        <v>1</v>
      </c>
      <c r="J18">
        <f>90*$M$4</f>
        <v>900</v>
      </c>
      <c r="N18">
        <v>-1</v>
      </c>
      <c r="O18" t="b">
        <v>1</v>
      </c>
      <c r="P18">
        <v>701101</v>
      </c>
      <c r="Q18">
        <f>180*$M$4</f>
        <v>1800</v>
      </c>
      <c r="R18">
        <f>360*$M$4</f>
        <v>3600</v>
      </c>
      <c r="S18">
        <v>2</v>
      </c>
      <c r="U18">
        <v>0</v>
      </c>
      <c r="V18">
        <v>0</v>
      </c>
    </row>
    <row r="19" spans="1:22">
      <c r="A19" t="s">
        <v>39</v>
      </c>
      <c r="M19">
        <v>10</v>
      </c>
    </row>
    <row r="20" customFormat="1" spans="1:22">
      <c r="B20">
        <v>3001</v>
      </c>
      <c r="C20">
        <v>3002</v>
      </c>
      <c r="D20">
        <v>1000</v>
      </c>
      <c r="E20" t="s">
        <v>832</v>
      </c>
      <c r="F20">
        <v>2002</v>
      </c>
      <c r="G20">
        <v>0</v>
      </c>
      <c r="H20" t="b">
        <v>0</v>
      </c>
      <c r="I20">
        <f>SUM($J$20:J20)</f>
        <v>60</v>
      </c>
      <c r="J20">
        <f>M20*$M$19</f>
        <v>60</v>
      </c>
      <c r="K20">
        <f t="shared" ref="K20:K35" si="2">J20/60</f>
        <v>1</v>
      </c>
      <c r="L20">
        <f>SUM($K$20:K20)</f>
        <v>1</v>
      </c>
      <c r="M20">
        <v>6</v>
      </c>
      <c r="N20">
        <v>1</v>
      </c>
      <c r="O20" t="b">
        <v>1</v>
      </c>
      <c r="P20">
        <v>0</v>
      </c>
      <c r="Q20">
        <v>0</v>
      </c>
      <c r="R20">
        <v>0</v>
      </c>
      <c r="S20">
        <v>0</v>
      </c>
      <c r="U20">
        <v>0</v>
      </c>
      <c r="V20">
        <v>0</v>
      </c>
    </row>
    <row r="21" customFormat="1" spans="1:22">
      <c r="B21">
        <v>3002</v>
      </c>
      <c r="C21">
        <v>3003</v>
      </c>
      <c r="D21">
        <v>2000</v>
      </c>
      <c r="E21" t="s">
        <v>832</v>
      </c>
      <c r="F21">
        <v>2003</v>
      </c>
      <c r="G21">
        <v>0</v>
      </c>
      <c r="H21" t="b">
        <v>0</v>
      </c>
      <c r="I21">
        <f>SUM($J$20:J21)</f>
        <v>120</v>
      </c>
      <c r="J21">
        <f>M21*$M$19</f>
        <v>60</v>
      </c>
      <c r="K21">
        <f t="shared" si="2"/>
        <v>1</v>
      </c>
      <c r="L21">
        <f>SUM($K$20:K21)</f>
        <v>2</v>
      </c>
      <c r="M21">
        <v>6</v>
      </c>
      <c r="N21">
        <v>1</v>
      </c>
      <c r="O21" t="b">
        <v>1</v>
      </c>
      <c r="P21">
        <v>0</v>
      </c>
      <c r="Q21">
        <v>0</v>
      </c>
      <c r="R21">
        <v>0</v>
      </c>
      <c r="S21">
        <v>0</v>
      </c>
      <c r="U21">
        <v>0</v>
      </c>
      <c r="V21">
        <v>0</v>
      </c>
    </row>
    <row r="22" spans="1:22">
      <c r="B22">
        <v>3003</v>
      </c>
      <c r="C22">
        <v>3004</v>
      </c>
      <c r="D22">
        <v>3000</v>
      </c>
      <c r="E22" t="s">
        <v>832</v>
      </c>
      <c r="F22">
        <v>2003</v>
      </c>
      <c r="G22">
        <v>0</v>
      </c>
      <c r="H22" t="b">
        <v>0</v>
      </c>
      <c r="I22">
        <f>SUM($J$20:J22)</f>
        <v>180</v>
      </c>
      <c r="J22">
        <f t="shared" ref="J22:J34" si="3">M22*$M$19</f>
        <v>60</v>
      </c>
      <c r="K22">
        <f t="shared" si="2"/>
        <v>1</v>
      </c>
      <c r="L22">
        <f>SUM($K$20:K22)</f>
        <v>3</v>
      </c>
      <c r="M22">
        <v>6</v>
      </c>
      <c r="N22">
        <v>1</v>
      </c>
      <c r="O22" t="b">
        <v>1</v>
      </c>
      <c r="P22">
        <v>0</v>
      </c>
      <c r="Q22">
        <v>0</v>
      </c>
      <c r="R22">
        <v>0</v>
      </c>
      <c r="S22">
        <v>0</v>
      </c>
      <c r="U22">
        <v>0</v>
      </c>
      <c r="V22">
        <v>0</v>
      </c>
    </row>
    <row r="23" spans="1:22">
      <c r="B23">
        <v>3004</v>
      </c>
      <c r="C23">
        <v>3005</v>
      </c>
      <c r="D23">
        <v>4000</v>
      </c>
      <c r="E23" t="s">
        <v>832</v>
      </c>
      <c r="F23">
        <v>2002</v>
      </c>
      <c r="G23">
        <v>0</v>
      </c>
      <c r="H23" t="b">
        <v>0</v>
      </c>
      <c r="I23">
        <f>SUM($J$20:J23)</f>
        <v>270</v>
      </c>
      <c r="J23">
        <f t="shared" si="3"/>
        <v>90</v>
      </c>
      <c r="K23">
        <f t="shared" si="2"/>
        <v>1.5</v>
      </c>
      <c r="L23">
        <f>SUM($K$20:K23)</f>
        <v>4.5</v>
      </c>
      <c r="M23">
        <v>9</v>
      </c>
      <c r="N23">
        <v>1</v>
      </c>
      <c r="O23" t="b">
        <v>1</v>
      </c>
      <c r="P23">
        <v>0</v>
      </c>
      <c r="Q23">
        <v>0</v>
      </c>
      <c r="R23">
        <v>0</v>
      </c>
      <c r="S23">
        <v>0</v>
      </c>
      <c r="U23">
        <v>0</v>
      </c>
      <c r="V23">
        <v>0</v>
      </c>
    </row>
    <row r="24" spans="1:22">
      <c r="B24">
        <v>3005</v>
      </c>
      <c r="C24">
        <v>3006</v>
      </c>
      <c r="D24">
        <v>5000</v>
      </c>
      <c r="E24" t="s">
        <v>832</v>
      </c>
      <c r="F24">
        <v>2002</v>
      </c>
      <c r="G24">
        <v>0</v>
      </c>
      <c r="H24" t="b">
        <v>0</v>
      </c>
      <c r="I24">
        <f>SUM($J$20:J24)</f>
        <v>360</v>
      </c>
      <c r="J24">
        <f t="shared" si="3"/>
        <v>90</v>
      </c>
      <c r="K24">
        <f t="shared" si="2"/>
        <v>1.5</v>
      </c>
      <c r="L24">
        <f>SUM($K$20:K24)</f>
        <v>6</v>
      </c>
      <c r="M24">
        <v>9</v>
      </c>
      <c r="N24">
        <v>1</v>
      </c>
      <c r="O24" t="b">
        <v>1</v>
      </c>
      <c r="P24">
        <v>0</v>
      </c>
      <c r="Q24">
        <v>0</v>
      </c>
      <c r="R24">
        <v>0</v>
      </c>
      <c r="S24">
        <v>0</v>
      </c>
      <c r="U24">
        <v>0</v>
      </c>
      <c r="V24">
        <v>0</v>
      </c>
    </row>
    <row r="25" spans="1:22">
      <c r="B25">
        <v>3006</v>
      </c>
      <c r="C25">
        <v>3007</v>
      </c>
      <c r="D25">
        <v>6000</v>
      </c>
      <c r="E25" t="s">
        <v>832</v>
      </c>
      <c r="F25">
        <v>2002</v>
      </c>
      <c r="G25">
        <v>0</v>
      </c>
      <c r="H25" t="b">
        <v>0</v>
      </c>
      <c r="I25">
        <f>SUM($J$20:J25)</f>
        <v>480</v>
      </c>
      <c r="J25">
        <f t="shared" si="3"/>
        <v>120</v>
      </c>
      <c r="K25">
        <f t="shared" si="2"/>
        <v>2</v>
      </c>
      <c r="L25">
        <f>SUM($K$20:K25)</f>
        <v>8</v>
      </c>
      <c r="M25">
        <v>12</v>
      </c>
      <c r="N25">
        <v>1</v>
      </c>
      <c r="O25" t="b">
        <v>1</v>
      </c>
      <c r="P25">
        <v>0</v>
      </c>
      <c r="Q25">
        <v>0</v>
      </c>
      <c r="R25">
        <v>0</v>
      </c>
      <c r="S25">
        <v>0</v>
      </c>
      <c r="U25">
        <v>0</v>
      </c>
      <c r="V25">
        <v>0</v>
      </c>
    </row>
    <row r="26" spans="1:22">
      <c r="B26">
        <v>3007</v>
      </c>
      <c r="C26">
        <v>3008</v>
      </c>
      <c r="D26">
        <v>7000</v>
      </c>
      <c r="E26" t="s">
        <v>832</v>
      </c>
      <c r="F26">
        <v>2002</v>
      </c>
      <c r="G26">
        <v>0</v>
      </c>
      <c r="H26" t="b">
        <v>0</v>
      </c>
      <c r="I26">
        <f>SUM($J$20:J26)</f>
        <v>600</v>
      </c>
      <c r="J26">
        <f t="shared" si="3"/>
        <v>120</v>
      </c>
      <c r="K26">
        <f t="shared" si="2"/>
        <v>2</v>
      </c>
      <c r="L26">
        <f>SUM($K$20:K26)</f>
        <v>10</v>
      </c>
      <c r="M26">
        <v>12</v>
      </c>
      <c r="N26">
        <v>1</v>
      </c>
      <c r="O26" t="b">
        <v>1</v>
      </c>
      <c r="P26">
        <v>0</v>
      </c>
      <c r="Q26">
        <v>0</v>
      </c>
      <c r="R26">
        <v>0</v>
      </c>
      <c r="S26">
        <v>0</v>
      </c>
      <c r="U26">
        <v>0</v>
      </c>
      <c r="V26">
        <v>0</v>
      </c>
    </row>
    <row r="27" spans="1:22">
      <c r="B27">
        <v>3008</v>
      </c>
      <c r="C27">
        <v>3009</v>
      </c>
      <c r="D27">
        <v>8000</v>
      </c>
      <c r="E27" t="s">
        <v>832</v>
      </c>
      <c r="F27">
        <v>2003</v>
      </c>
      <c r="G27">
        <v>0</v>
      </c>
      <c r="H27" t="b">
        <v>0</v>
      </c>
      <c r="I27">
        <f>SUM($J$20:J27)</f>
        <v>750</v>
      </c>
      <c r="J27">
        <f t="shared" si="3"/>
        <v>150</v>
      </c>
      <c r="K27">
        <f t="shared" si="2"/>
        <v>2.5</v>
      </c>
      <c r="L27">
        <f>SUM($K$20:K27)</f>
        <v>12.5</v>
      </c>
      <c r="M27">
        <v>15</v>
      </c>
      <c r="N27">
        <v>1</v>
      </c>
      <c r="O27" t="b">
        <v>1</v>
      </c>
      <c r="P27">
        <v>0</v>
      </c>
      <c r="Q27">
        <v>0</v>
      </c>
      <c r="R27">
        <v>0</v>
      </c>
      <c r="S27">
        <v>0</v>
      </c>
      <c r="U27">
        <v>0</v>
      </c>
      <c r="V27">
        <v>0</v>
      </c>
    </row>
    <row r="28" spans="1:22">
      <c r="B28">
        <v>3009</v>
      </c>
      <c r="C28">
        <v>3010</v>
      </c>
      <c r="D28">
        <v>9000</v>
      </c>
      <c r="E28" t="s">
        <v>832</v>
      </c>
      <c r="F28">
        <v>2002</v>
      </c>
      <c r="G28">
        <v>0</v>
      </c>
      <c r="H28" t="b">
        <v>0</v>
      </c>
      <c r="I28">
        <f>SUM($J$20:J28)</f>
        <v>900</v>
      </c>
      <c r="J28">
        <f t="shared" si="3"/>
        <v>150</v>
      </c>
      <c r="K28">
        <f t="shared" si="2"/>
        <v>2.5</v>
      </c>
      <c r="L28">
        <f>SUM($K$20:K28)</f>
        <v>15</v>
      </c>
      <c r="M28">
        <v>15</v>
      </c>
      <c r="N28">
        <v>1</v>
      </c>
      <c r="O28" t="b">
        <v>1</v>
      </c>
      <c r="P28">
        <v>0</v>
      </c>
      <c r="Q28">
        <v>0</v>
      </c>
      <c r="R28">
        <v>0</v>
      </c>
      <c r="S28">
        <v>0</v>
      </c>
      <c r="U28">
        <v>0</v>
      </c>
      <c r="V28">
        <v>0</v>
      </c>
    </row>
    <row r="29" spans="1:22">
      <c r="B29">
        <v>3010</v>
      </c>
      <c r="C29">
        <v>3011</v>
      </c>
      <c r="D29">
        <v>10000</v>
      </c>
      <c r="E29" t="s">
        <v>832</v>
      </c>
      <c r="F29">
        <v>2002</v>
      </c>
      <c r="G29">
        <v>0</v>
      </c>
      <c r="H29" t="b">
        <v>0</v>
      </c>
      <c r="I29">
        <f>SUM($J$20:J29)</f>
        <v>1080</v>
      </c>
      <c r="J29">
        <f t="shared" si="3"/>
        <v>180</v>
      </c>
      <c r="K29">
        <f t="shared" si="2"/>
        <v>3</v>
      </c>
      <c r="L29">
        <f>SUM($K$20:K29)</f>
        <v>18</v>
      </c>
      <c r="M29">
        <v>18</v>
      </c>
      <c r="N29">
        <v>1</v>
      </c>
      <c r="O29" t="b">
        <v>1</v>
      </c>
      <c r="P29">
        <v>0</v>
      </c>
      <c r="Q29">
        <v>0</v>
      </c>
      <c r="R29">
        <v>0</v>
      </c>
      <c r="S29">
        <v>0</v>
      </c>
      <c r="U29">
        <v>0</v>
      </c>
      <c r="V29">
        <v>0</v>
      </c>
    </row>
    <row r="30" spans="1:22">
      <c r="B30">
        <v>3011</v>
      </c>
      <c r="C30">
        <v>3012</v>
      </c>
      <c r="D30">
        <v>11000</v>
      </c>
      <c r="E30" t="s">
        <v>832</v>
      </c>
      <c r="F30">
        <v>2002</v>
      </c>
      <c r="G30">
        <v>0</v>
      </c>
      <c r="H30" t="b">
        <v>0</v>
      </c>
      <c r="I30">
        <f>SUM($J$20:J30)</f>
        <v>1260</v>
      </c>
      <c r="J30">
        <f t="shared" si="3"/>
        <v>180</v>
      </c>
      <c r="K30">
        <f t="shared" si="2"/>
        <v>3</v>
      </c>
      <c r="L30">
        <f>SUM($K$20:K30)</f>
        <v>21</v>
      </c>
      <c r="M30">
        <v>18</v>
      </c>
      <c r="N30">
        <v>1</v>
      </c>
      <c r="O30" t="b">
        <v>1</v>
      </c>
      <c r="P30">
        <v>0</v>
      </c>
      <c r="Q30">
        <v>0</v>
      </c>
      <c r="R30">
        <v>0</v>
      </c>
      <c r="S30">
        <v>0</v>
      </c>
      <c r="U30">
        <v>0</v>
      </c>
      <c r="V30">
        <v>0</v>
      </c>
    </row>
    <row r="31" spans="1:22">
      <c r="B31">
        <v>3012</v>
      </c>
      <c r="C31">
        <v>3013</v>
      </c>
      <c r="D31">
        <v>12000</v>
      </c>
      <c r="E31" t="s">
        <v>832</v>
      </c>
      <c r="F31">
        <v>2002</v>
      </c>
      <c r="G31">
        <v>0</v>
      </c>
      <c r="H31" t="b">
        <v>0</v>
      </c>
      <c r="I31">
        <f>SUM($J$20:J31)</f>
        <v>1470</v>
      </c>
      <c r="J31">
        <f t="shared" si="3"/>
        <v>210</v>
      </c>
      <c r="K31">
        <f t="shared" si="2"/>
        <v>3.5</v>
      </c>
      <c r="L31">
        <f>SUM($K$20:K31)</f>
        <v>24.5</v>
      </c>
      <c r="M31">
        <v>21</v>
      </c>
      <c r="N31">
        <v>1</v>
      </c>
      <c r="O31" t="b">
        <v>1</v>
      </c>
      <c r="P31">
        <v>0</v>
      </c>
      <c r="Q31">
        <v>0</v>
      </c>
      <c r="R31">
        <v>0</v>
      </c>
      <c r="S31">
        <v>0</v>
      </c>
      <c r="U31">
        <v>0</v>
      </c>
      <c r="V31">
        <v>0</v>
      </c>
    </row>
    <row r="32" spans="1:22">
      <c r="B32">
        <v>3013</v>
      </c>
      <c r="C32">
        <v>3014</v>
      </c>
      <c r="D32">
        <v>13000</v>
      </c>
      <c r="E32" t="s">
        <v>832</v>
      </c>
      <c r="F32">
        <v>2002</v>
      </c>
      <c r="G32">
        <v>0</v>
      </c>
      <c r="H32" t="b">
        <v>0</v>
      </c>
      <c r="I32">
        <f>SUM($J$20:J32)</f>
        <v>1680</v>
      </c>
      <c r="J32">
        <f t="shared" si="3"/>
        <v>210</v>
      </c>
      <c r="K32">
        <f t="shared" si="2"/>
        <v>3.5</v>
      </c>
      <c r="L32">
        <f>SUM($K$20:K32)</f>
        <v>28</v>
      </c>
      <c r="M32">
        <v>21</v>
      </c>
      <c r="N32">
        <v>1</v>
      </c>
      <c r="O32" t="b">
        <v>1</v>
      </c>
      <c r="P32">
        <v>0</v>
      </c>
      <c r="Q32">
        <v>0</v>
      </c>
      <c r="R32">
        <v>0</v>
      </c>
      <c r="S32">
        <v>0</v>
      </c>
      <c r="U32">
        <v>0</v>
      </c>
      <c r="V32">
        <v>0</v>
      </c>
    </row>
    <row r="33" spans="1:22">
      <c r="B33">
        <v>3014</v>
      </c>
      <c r="C33">
        <v>3015</v>
      </c>
      <c r="D33">
        <v>14000</v>
      </c>
      <c r="E33" t="s">
        <v>832</v>
      </c>
      <c r="F33">
        <v>2003</v>
      </c>
      <c r="G33">
        <v>0</v>
      </c>
      <c r="H33" t="b">
        <v>0</v>
      </c>
      <c r="I33">
        <f>SUM($J$20:J33)</f>
        <v>1920</v>
      </c>
      <c r="J33">
        <f t="shared" si="3"/>
        <v>240</v>
      </c>
      <c r="K33">
        <f t="shared" si="2"/>
        <v>4</v>
      </c>
      <c r="L33">
        <f>SUM($K$20:K33)</f>
        <v>32</v>
      </c>
      <c r="M33">
        <v>24</v>
      </c>
      <c r="N33">
        <v>1</v>
      </c>
      <c r="O33" t="b">
        <v>1</v>
      </c>
      <c r="P33">
        <v>0</v>
      </c>
      <c r="Q33">
        <v>0</v>
      </c>
      <c r="R33">
        <v>0</v>
      </c>
      <c r="S33">
        <v>0</v>
      </c>
      <c r="U33">
        <v>0</v>
      </c>
      <c r="V33">
        <v>0</v>
      </c>
    </row>
    <row r="34" spans="1:22">
      <c r="B34">
        <v>3015</v>
      </c>
      <c r="C34">
        <v>0</v>
      </c>
      <c r="D34">
        <v>15000</v>
      </c>
      <c r="E34" t="s">
        <v>832</v>
      </c>
      <c r="F34">
        <v>2002</v>
      </c>
      <c r="G34">
        <v>0</v>
      </c>
      <c r="H34" t="b">
        <v>0</v>
      </c>
      <c r="I34">
        <f>SUM($J$20:J34)</f>
        <v>2220</v>
      </c>
      <c r="J34">
        <f t="shared" si="3"/>
        <v>300</v>
      </c>
      <c r="K34">
        <f t="shared" si="2"/>
        <v>5</v>
      </c>
      <c r="L34">
        <f>SUM($K$20:K34)</f>
        <v>37</v>
      </c>
      <c r="M34">
        <v>30</v>
      </c>
      <c r="N34">
        <v>1</v>
      </c>
      <c r="O34" t="b">
        <v>1</v>
      </c>
      <c r="P34">
        <v>0</v>
      </c>
      <c r="Q34">
        <v>0</v>
      </c>
      <c r="R34">
        <v>0</v>
      </c>
      <c r="S34">
        <v>0</v>
      </c>
      <c r="U34">
        <v>0</v>
      </c>
      <c r="V34">
        <v>0</v>
      </c>
    </row>
    <row r="35" spans="1:22">
      <c r="A35" t="s">
        <v>39</v>
      </c>
    </row>
    <row r="36" customFormat="1" spans="1:22">
      <c r="B36">
        <v>4001</v>
      </c>
      <c r="C36">
        <v>0</v>
      </c>
      <c r="D36">
        <v>0</v>
      </c>
      <c r="E36" t="s">
        <v>843</v>
      </c>
      <c r="F36">
        <v>4002</v>
      </c>
      <c r="G36">
        <v>0</v>
      </c>
      <c r="H36" t="b">
        <v>1</v>
      </c>
      <c r="J36">
        <v>5</v>
      </c>
      <c r="N36">
        <v>-1</v>
      </c>
      <c r="O36" t="b">
        <v>1</v>
      </c>
      <c r="P36">
        <v>0</v>
      </c>
      <c r="Q36">
        <v>0</v>
      </c>
      <c r="R36">
        <v>0</v>
      </c>
      <c r="S36">
        <v>0</v>
      </c>
      <c r="U36">
        <v>1000</v>
      </c>
      <c r="V36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20" workbookViewId="0">
      <selection activeCell="F61" sqref="F61"/>
    </sheetView>
  </sheetViews>
  <sheetFormatPr defaultColWidth="8.66666666666667" defaultRowHeight="17.4" outlineLevelCol="7"/>
  <cols>
    <col min="1" max="1" width="7.08333333333333" customWidth="1"/>
    <col min="3" max="3" width="14.5" customWidth="1"/>
    <col min="4" max="4" width="7.25" customWidth="1"/>
    <col min="5" max="5" width="11.0833333333333" customWidth="1"/>
    <col min="6" max="6" width="11.0833333333333" style="17" customWidth="1"/>
    <col min="8" max="8" width="18" customWidth="1"/>
  </cols>
  <sheetData>
    <row r="1" spans="1:8">
      <c r="A1" t="s">
        <v>0</v>
      </c>
      <c r="B1" t="s">
        <v>1</v>
      </c>
      <c r="C1" t="s">
        <v>848</v>
      </c>
      <c r="D1" t="s">
        <v>891</v>
      </c>
      <c r="E1" t="s">
        <v>892</v>
      </c>
      <c r="G1" t="s">
        <v>795</v>
      </c>
    </row>
    <row r="2" spans="1:8">
      <c r="A2" t="s">
        <v>28</v>
      </c>
      <c r="B2" t="s">
        <v>29</v>
      </c>
      <c r="C2" t="s">
        <v>29</v>
      </c>
      <c r="D2" t="s">
        <v>34</v>
      </c>
      <c r="E2" t="s">
        <v>29</v>
      </c>
      <c r="G2" t="s">
        <v>35</v>
      </c>
    </row>
    <row r="3" s="2" customFormat="1" ht="66" customHeight="1" spans="1:8">
      <c r="A3" s="2" t="s">
        <v>39</v>
      </c>
      <c r="B3" s="2" t="s">
        <v>893</v>
      </c>
      <c r="C3" s="2" t="s">
        <v>862</v>
      </c>
      <c r="D3" s="2" t="s">
        <v>894</v>
      </c>
      <c r="E3" s="2" t="s">
        <v>895</v>
      </c>
      <c r="F3" s="19"/>
      <c r="G3" s="2" t="s">
        <v>821</v>
      </c>
    </row>
    <row r="4" spans="1:8">
      <c r="A4" t="s">
        <v>39</v>
      </c>
      <c r="B4" t="s">
        <v>56</v>
      </c>
      <c r="C4" t="s">
        <v>811</v>
      </c>
      <c r="D4" t="s">
        <v>62</v>
      </c>
      <c r="E4" t="s">
        <v>896</v>
      </c>
      <c r="G4" t="s">
        <v>821</v>
      </c>
      <c r="H4" t="s">
        <v>897</v>
      </c>
    </row>
    <row r="5" spans="1:8">
      <c r="B5">
        <v>100101</v>
      </c>
      <c r="C5">
        <v>1001</v>
      </c>
      <c r="D5" t="s">
        <v>86</v>
      </c>
      <c r="E5">
        <v>0</v>
      </c>
      <c r="F5" s="17">
        <f>E5/10000</f>
        <v>0</v>
      </c>
      <c r="G5" t="b">
        <v>1</v>
      </c>
    </row>
    <row r="6" spans="1:8">
      <c r="B6">
        <v>100102</v>
      </c>
      <c r="C6">
        <v>1001</v>
      </c>
      <c r="D6" t="s">
        <v>100</v>
      </c>
      <c r="E6">
        <v>6700</v>
      </c>
      <c r="F6" s="17">
        <f>E6/10000</f>
        <v>0.67</v>
      </c>
      <c r="G6" t="b">
        <v>1</v>
      </c>
    </row>
    <row r="7" spans="1:8">
      <c r="B7">
        <v>100103</v>
      </c>
      <c r="C7">
        <v>1001</v>
      </c>
      <c r="D7" t="s">
        <v>94</v>
      </c>
      <c r="E7">
        <v>2200</v>
      </c>
      <c r="F7" s="17">
        <f t="shared" ref="F7:F17" si="0">E7/10000</f>
        <v>0.22</v>
      </c>
      <c r="G7" t="b">
        <v>1</v>
      </c>
    </row>
    <row r="8" spans="1:8">
      <c r="B8">
        <v>100104</v>
      </c>
      <c r="C8">
        <v>1001</v>
      </c>
      <c r="D8" t="s">
        <v>109</v>
      </c>
      <c r="E8" s="22">
        <v>900</v>
      </c>
      <c r="F8" s="17">
        <f t="shared" si="0"/>
        <v>0.09</v>
      </c>
      <c r="G8" t="b">
        <v>1</v>
      </c>
    </row>
    <row r="9" spans="1:8">
      <c r="B9">
        <v>100105</v>
      </c>
      <c r="C9">
        <v>1001</v>
      </c>
      <c r="D9" t="s">
        <v>113</v>
      </c>
      <c r="E9" s="22">
        <v>180</v>
      </c>
      <c r="F9" s="17">
        <f t="shared" si="0"/>
        <v>0.018</v>
      </c>
      <c r="G9" t="b">
        <v>1</v>
      </c>
    </row>
    <row r="10" spans="1:8">
      <c r="B10">
        <v>100106</v>
      </c>
      <c r="C10">
        <v>1001</v>
      </c>
      <c r="D10" t="s">
        <v>129</v>
      </c>
      <c r="E10">
        <v>20</v>
      </c>
      <c r="F10" s="17">
        <f t="shared" si="0"/>
        <v>0.002</v>
      </c>
      <c r="G10" t="b">
        <v>1</v>
      </c>
    </row>
    <row r="11" spans="1:8">
      <c r="A11" t="s">
        <v>39</v>
      </c>
      <c r="F11" s="17">
        <f>SUM(F5:F10)</f>
        <v>1</v>
      </c>
    </row>
    <row r="12" spans="1:8">
      <c r="B12">
        <v>100201</v>
      </c>
      <c r="C12">
        <v>1002</v>
      </c>
      <c r="D12" t="s">
        <v>86</v>
      </c>
      <c r="E12">
        <v>0</v>
      </c>
      <c r="F12" s="17">
        <f t="shared" si="0"/>
        <v>0</v>
      </c>
      <c r="G12" t="b">
        <v>1</v>
      </c>
    </row>
    <row r="13" spans="1:8">
      <c r="B13">
        <v>100202</v>
      </c>
      <c r="C13">
        <v>1002</v>
      </c>
      <c r="D13" t="s">
        <v>100</v>
      </c>
      <c r="E13">
        <v>3700</v>
      </c>
      <c r="F13" s="17">
        <f t="shared" si="0"/>
        <v>0.37</v>
      </c>
      <c r="G13" t="b">
        <v>1</v>
      </c>
      <c r="H13" t="s">
        <v>898</v>
      </c>
    </row>
    <row r="14" spans="1:8">
      <c r="B14">
        <v>100203</v>
      </c>
      <c r="C14">
        <v>1002</v>
      </c>
      <c r="D14" t="s">
        <v>94</v>
      </c>
      <c r="E14">
        <v>4200</v>
      </c>
      <c r="F14" s="17">
        <f t="shared" si="0"/>
        <v>0.42</v>
      </c>
      <c r="G14" t="b">
        <v>1</v>
      </c>
    </row>
    <row r="15" spans="1:8">
      <c r="B15">
        <v>100204</v>
      </c>
      <c r="C15">
        <v>1002</v>
      </c>
      <c r="D15" t="s">
        <v>109</v>
      </c>
      <c r="E15">
        <v>1700</v>
      </c>
      <c r="F15" s="17">
        <f t="shared" si="0"/>
        <v>0.17</v>
      </c>
      <c r="G15" t="b">
        <v>1</v>
      </c>
    </row>
    <row r="16" spans="1:8">
      <c r="B16">
        <v>100205</v>
      </c>
      <c r="C16">
        <v>1002</v>
      </c>
      <c r="D16" t="s">
        <v>113</v>
      </c>
      <c r="E16">
        <v>380</v>
      </c>
      <c r="F16" s="17">
        <f t="shared" si="0"/>
        <v>0.038</v>
      </c>
      <c r="G16" t="b">
        <v>1</v>
      </c>
    </row>
    <row r="17" spans="1:8">
      <c r="B17">
        <v>100206</v>
      </c>
      <c r="C17">
        <v>1002</v>
      </c>
      <c r="D17" t="s">
        <v>129</v>
      </c>
      <c r="E17">
        <v>20</v>
      </c>
      <c r="F17" s="17">
        <f t="shared" si="0"/>
        <v>0.002</v>
      </c>
      <c r="G17" t="b">
        <v>1</v>
      </c>
    </row>
    <row r="18" spans="1:8">
      <c r="A18" t="s">
        <v>39</v>
      </c>
      <c r="F18" s="17">
        <f>SUM(F12:F17)</f>
        <v>1</v>
      </c>
    </row>
    <row r="19" spans="1:8">
      <c r="B19">
        <v>200101</v>
      </c>
      <c r="C19">
        <v>2001</v>
      </c>
      <c r="D19" t="s">
        <v>86</v>
      </c>
      <c r="E19">
        <v>0</v>
      </c>
      <c r="F19" s="17">
        <f t="shared" ref="F19:F24" si="1">E19/10000</f>
        <v>0</v>
      </c>
      <c r="G19" t="b">
        <v>1</v>
      </c>
      <c r="H19" t="s">
        <v>724</v>
      </c>
    </row>
    <row r="20" spans="1:8">
      <c r="B20">
        <v>200102</v>
      </c>
      <c r="C20">
        <v>2001</v>
      </c>
      <c r="D20" t="s">
        <v>100</v>
      </c>
      <c r="E20">
        <v>3000</v>
      </c>
      <c r="F20" s="17">
        <f t="shared" si="1"/>
        <v>0.3</v>
      </c>
      <c r="G20" t="b">
        <v>1</v>
      </c>
      <c r="H20" t="s">
        <v>724</v>
      </c>
    </row>
    <row r="21" spans="1:8">
      <c r="B21">
        <v>200103</v>
      </c>
      <c r="C21">
        <v>2001</v>
      </c>
      <c r="D21" t="s">
        <v>94</v>
      </c>
      <c r="E21">
        <v>5000</v>
      </c>
      <c r="F21" s="17">
        <f t="shared" si="1"/>
        <v>0.5</v>
      </c>
      <c r="G21" t="b">
        <v>1</v>
      </c>
      <c r="H21" t="s">
        <v>724</v>
      </c>
    </row>
    <row r="22" spans="1:8">
      <c r="B22">
        <v>200104</v>
      </c>
      <c r="C22">
        <v>2001</v>
      </c>
      <c r="D22" t="s">
        <v>109</v>
      </c>
      <c r="E22">
        <v>1700</v>
      </c>
      <c r="F22" s="17">
        <f t="shared" si="1"/>
        <v>0.17</v>
      </c>
      <c r="G22" t="b">
        <v>1</v>
      </c>
      <c r="H22" t="s">
        <v>724</v>
      </c>
    </row>
    <row r="23" spans="1:8">
      <c r="B23">
        <v>200105</v>
      </c>
      <c r="C23">
        <v>2001</v>
      </c>
      <c r="D23" t="s">
        <v>113</v>
      </c>
      <c r="E23">
        <v>380</v>
      </c>
      <c r="F23" s="17">
        <f t="shared" si="1"/>
        <v>0.038</v>
      </c>
      <c r="G23" t="b">
        <v>1</v>
      </c>
      <c r="H23" t="s">
        <v>724</v>
      </c>
    </row>
    <row r="24" spans="1:8">
      <c r="B24">
        <v>200106</v>
      </c>
      <c r="C24">
        <v>2001</v>
      </c>
      <c r="D24" t="s">
        <v>129</v>
      </c>
      <c r="E24">
        <v>0</v>
      </c>
      <c r="F24" s="17">
        <f t="shared" si="1"/>
        <v>0</v>
      </c>
      <c r="G24" t="b">
        <v>1</v>
      </c>
      <c r="H24" t="s">
        <v>724</v>
      </c>
    </row>
    <row r="25" spans="1:8">
      <c r="A25" t="s">
        <v>39</v>
      </c>
      <c r="F25" s="17">
        <f>SUM(F19:F24)</f>
        <v>1.008</v>
      </c>
    </row>
    <row r="26" spans="1:8">
      <c r="B26">
        <v>200201</v>
      </c>
      <c r="C26">
        <v>2002</v>
      </c>
      <c r="D26" t="s">
        <v>86</v>
      </c>
      <c r="E26">
        <v>0</v>
      </c>
      <c r="F26" s="17">
        <f t="shared" ref="F26:F31" si="2">E26/10000</f>
        <v>0</v>
      </c>
      <c r="G26" t="b">
        <v>1</v>
      </c>
      <c r="H26" t="s">
        <v>899</v>
      </c>
    </row>
    <row r="27" spans="1:8">
      <c r="B27">
        <v>200202</v>
      </c>
      <c r="C27">
        <v>2002</v>
      </c>
      <c r="D27" t="s">
        <v>100</v>
      </c>
      <c r="E27">
        <v>3700</v>
      </c>
      <c r="F27" s="17">
        <f t="shared" si="2"/>
        <v>0.37</v>
      </c>
      <c r="G27" t="b">
        <v>1</v>
      </c>
      <c r="H27" t="s">
        <v>899</v>
      </c>
    </row>
    <row r="28" spans="1:8">
      <c r="B28">
        <v>200203</v>
      </c>
      <c r="C28">
        <v>2002</v>
      </c>
      <c r="D28" t="s">
        <v>94</v>
      </c>
      <c r="E28">
        <v>4200</v>
      </c>
      <c r="F28" s="17">
        <f t="shared" si="2"/>
        <v>0.42</v>
      </c>
      <c r="G28" t="b">
        <v>1</v>
      </c>
      <c r="H28" t="s">
        <v>899</v>
      </c>
    </row>
    <row r="29" spans="1:8">
      <c r="B29">
        <v>200204</v>
      </c>
      <c r="C29">
        <v>2002</v>
      </c>
      <c r="D29" t="s">
        <v>109</v>
      </c>
      <c r="E29">
        <v>1700</v>
      </c>
      <c r="F29" s="17">
        <f t="shared" si="2"/>
        <v>0.17</v>
      </c>
      <c r="G29" t="b">
        <v>1</v>
      </c>
      <c r="H29" t="s">
        <v>899</v>
      </c>
    </row>
    <row r="30" spans="1:8">
      <c r="B30">
        <v>200205</v>
      </c>
      <c r="C30">
        <v>2002</v>
      </c>
      <c r="D30" t="s">
        <v>113</v>
      </c>
      <c r="E30">
        <v>0</v>
      </c>
      <c r="F30" s="17">
        <f t="shared" si="2"/>
        <v>0</v>
      </c>
      <c r="G30" t="b">
        <v>1</v>
      </c>
      <c r="H30" t="s">
        <v>899</v>
      </c>
    </row>
    <row r="31" spans="1:8">
      <c r="B31">
        <v>200206</v>
      </c>
      <c r="C31">
        <v>2002</v>
      </c>
      <c r="D31" t="s">
        <v>129</v>
      </c>
      <c r="E31">
        <v>0</v>
      </c>
      <c r="F31" s="17">
        <f t="shared" si="2"/>
        <v>0</v>
      </c>
      <c r="G31" t="b">
        <v>1</v>
      </c>
      <c r="H31" t="s">
        <v>899</v>
      </c>
    </row>
    <row r="32" spans="1:8">
      <c r="A32" t="s">
        <v>39</v>
      </c>
      <c r="F32" s="17">
        <f>SUM(F26:F31)</f>
        <v>0.96</v>
      </c>
    </row>
    <row r="33" spans="1:8">
      <c r="B33">
        <v>200301</v>
      </c>
      <c r="C33">
        <v>2003</v>
      </c>
      <c r="D33" t="s">
        <v>86</v>
      </c>
      <c r="E33">
        <v>0</v>
      </c>
      <c r="F33" s="17">
        <f t="shared" ref="F33:F38" si="3">E33/SUM($E$33:$E$38)</f>
        <v>0</v>
      </c>
      <c r="G33" t="b">
        <v>1</v>
      </c>
      <c r="H33" t="s">
        <v>900</v>
      </c>
    </row>
    <row r="34" spans="1:8">
      <c r="B34">
        <v>200302</v>
      </c>
      <c r="C34">
        <v>2003</v>
      </c>
      <c r="D34" t="s">
        <v>100</v>
      </c>
      <c r="E34">
        <v>0</v>
      </c>
      <c r="F34" s="17">
        <f t="shared" si="3"/>
        <v>0</v>
      </c>
      <c r="G34" t="b">
        <v>1</v>
      </c>
      <c r="H34" t="s">
        <v>900</v>
      </c>
    </row>
    <row r="35" spans="1:8">
      <c r="B35">
        <v>200303</v>
      </c>
      <c r="C35">
        <v>2003</v>
      </c>
      <c r="D35" t="s">
        <v>94</v>
      </c>
      <c r="E35">
        <v>0</v>
      </c>
      <c r="F35" s="17">
        <f t="shared" si="3"/>
        <v>0</v>
      </c>
      <c r="G35" t="b">
        <v>1</v>
      </c>
      <c r="H35" t="s">
        <v>900</v>
      </c>
    </row>
    <row r="36" spans="1:8">
      <c r="B36">
        <v>200304</v>
      </c>
      <c r="C36">
        <v>2003</v>
      </c>
      <c r="D36" t="s">
        <v>109</v>
      </c>
      <c r="E36">
        <v>1000</v>
      </c>
      <c r="F36" s="17">
        <f t="shared" si="3"/>
        <v>0.434782608695652</v>
      </c>
      <c r="G36" t="b">
        <v>1</v>
      </c>
      <c r="H36" t="s">
        <v>900</v>
      </c>
    </row>
    <row r="37" spans="1:8">
      <c r="B37">
        <v>200305</v>
      </c>
      <c r="C37">
        <v>2003</v>
      </c>
      <c r="D37" t="s">
        <v>113</v>
      </c>
      <c r="E37">
        <v>800</v>
      </c>
      <c r="F37" s="17">
        <f t="shared" si="3"/>
        <v>0.347826086956522</v>
      </c>
      <c r="G37" t="b">
        <v>1</v>
      </c>
      <c r="H37" t="s">
        <v>900</v>
      </c>
    </row>
    <row r="38" spans="1:8">
      <c r="B38">
        <v>200306</v>
      </c>
      <c r="C38">
        <v>2003</v>
      </c>
      <c r="D38" t="s">
        <v>129</v>
      </c>
      <c r="E38">
        <v>500</v>
      </c>
      <c r="F38" s="17">
        <f t="shared" si="3"/>
        <v>0.217391304347826</v>
      </c>
      <c r="G38" t="b">
        <v>1</v>
      </c>
      <c r="H38" t="s">
        <v>900</v>
      </c>
    </row>
    <row r="39" spans="1:8">
      <c r="A39" t="s">
        <v>39</v>
      </c>
      <c r="F39" s="17">
        <f>SUM(F33:F38)</f>
        <v>1</v>
      </c>
    </row>
    <row r="40" spans="1:8">
      <c r="B40">
        <v>300101</v>
      </c>
      <c r="C40">
        <v>3001</v>
      </c>
      <c r="D40" t="s">
        <v>345</v>
      </c>
      <c r="E40">
        <v>100</v>
      </c>
      <c r="G40" t="b">
        <v>0</v>
      </c>
      <c r="H40" t="s">
        <v>901</v>
      </c>
    </row>
    <row r="41" spans="1:8">
      <c r="A41" t="s">
        <v>39</v>
      </c>
    </row>
    <row r="42" spans="1:8">
      <c r="B42">
        <v>400101</v>
      </c>
      <c r="C42">
        <v>4001</v>
      </c>
      <c r="D42" t="s">
        <v>86</v>
      </c>
      <c r="E42">
        <v>0</v>
      </c>
      <c r="F42" s="17">
        <f t="shared" ref="F42:F47" si="4">E42/10000</f>
        <v>0</v>
      </c>
      <c r="G42" t="b">
        <v>1</v>
      </c>
      <c r="H42" t="s">
        <v>902</v>
      </c>
    </row>
    <row r="43" spans="1:8">
      <c r="B43">
        <v>400102</v>
      </c>
      <c r="C43">
        <v>4001</v>
      </c>
      <c r="D43" t="s">
        <v>100</v>
      </c>
      <c r="E43">
        <v>6700</v>
      </c>
      <c r="F43" s="17">
        <f t="shared" si="4"/>
        <v>0.67</v>
      </c>
      <c r="G43" t="b">
        <v>1</v>
      </c>
    </row>
    <row r="44" spans="1:8">
      <c r="B44">
        <v>400103</v>
      </c>
      <c r="C44">
        <v>4001</v>
      </c>
      <c r="D44" t="s">
        <v>94</v>
      </c>
      <c r="E44">
        <v>2200</v>
      </c>
      <c r="F44" s="17">
        <f t="shared" si="4"/>
        <v>0.22</v>
      </c>
      <c r="G44" t="b">
        <v>1</v>
      </c>
    </row>
    <row r="45" spans="1:8">
      <c r="B45">
        <v>400104</v>
      </c>
      <c r="C45">
        <v>4001</v>
      </c>
      <c r="D45" t="s">
        <v>109</v>
      </c>
      <c r="E45" s="22">
        <v>900</v>
      </c>
      <c r="F45" s="17">
        <f t="shared" si="4"/>
        <v>0.09</v>
      </c>
      <c r="G45" t="b">
        <v>1</v>
      </c>
    </row>
    <row r="46" spans="1:8">
      <c r="B46">
        <v>400105</v>
      </c>
      <c r="C46">
        <v>4001</v>
      </c>
      <c r="D46" t="s">
        <v>113</v>
      </c>
      <c r="E46" s="22">
        <v>180</v>
      </c>
      <c r="F46" s="17">
        <f t="shared" si="4"/>
        <v>0.018</v>
      </c>
      <c r="G46" t="b">
        <v>1</v>
      </c>
    </row>
    <row r="47" spans="1:8">
      <c r="B47">
        <v>400106</v>
      </c>
      <c r="C47">
        <v>4001</v>
      </c>
      <c r="D47" t="s">
        <v>129</v>
      </c>
      <c r="E47">
        <v>20</v>
      </c>
      <c r="F47" s="17">
        <f t="shared" si="4"/>
        <v>0.002</v>
      </c>
      <c r="G47" t="b">
        <v>1</v>
      </c>
    </row>
    <row r="48" spans="1:8">
      <c r="A48" t="s">
        <v>39</v>
      </c>
      <c r="F48" s="17">
        <f>SUM(F42:F47)</f>
        <v>1</v>
      </c>
    </row>
    <row r="49" spans="2:8">
      <c r="B49">
        <v>400201</v>
      </c>
      <c r="C49">
        <v>4002</v>
      </c>
      <c r="D49" t="s">
        <v>86</v>
      </c>
      <c r="E49">
        <v>100</v>
      </c>
      <c r="F49" s="17">
        <f t="shared" ref="F49:F54" si="5">E49/10000</f>
        <v>0.01</v>
      </c>
      <c r="G49" t="b">
        <v>1</v>
      </c>
      <c r="H49" t="s">
        <v>903</v>
      </c>
    </row>
    <row r="50" spans="2:8">
      <c r="B50">
        <v>400202</v>
      </c>
      <c r="C50">
        <v>4002</v>
      </c>
      <c r="D50" t="s">
        <v>100</v>
      </c>
      <c r="E50">
        <v>100</v>
      </c>
      <c r="F50" s="17">
        <f t="shared" si="5"/>
        <v>0.01</v>
      </c>
      <c r="G50" t="b">
        <v>1</v>
      </c>
    </row>
    <row r="51" spans="2:8">
      <c r="B51">
        <v>400203</v>
      </c>
      <c r="C51">
        <v>4002</v>
      </c>
      <c r="D51" t="s">
        <v>94</v>
      </c>
      <c r="E51">
        <v>100</v>
      </c>
      <c r="F51" s="17">
        <f t="shared" si="5"/>
        <v>0.01</v>
      </c>
      <c r="G51" t="b">
        <v>1</v>
      </c>
    </row>
    <row r="52" spans="2:8">
      <c r="B52">
        <v>400204</v>
      </c>
      <c r="C52">
        <v>4002</v>
      </c>
      <c r="D52" t="s">
        <v>109</v>
      </c>
      <c r="E52">
        <v>100</v>
      </c>
      <c r="F52" s="17">
        <f t="shared" si="5"/>
        <v>0.01</v>
      </c>
      <c r="G52" t="b">
        <v>1</v>
      </c>
    </row>
    <row r="53" spans="2:8">
      <c r="B53">
        <v>400205</v>
      </c>
      <c r="C53">
        <v>4002</v>
      </c>
      <c r="D53" t="s">
        <v>113</v>
      </c>
      <c r="E53">
        <v>100</v>
      </c>
      <c r="F53" s="17">
        <f t="shared" si="5"/>
        <v>0.01</v>
      </c>
      <c r="G53" t="b">
        <v>1</v>
      </c>
    </row>
    <row r="54" spans="2:8">
      <c r="B54">
        <v>400206</v>
      </c>
      <c r="C54">
        <v>4002</v>
      </c>
      <c r="D54" t="s">
        <v>129</v>
      </c>
      <c r="E54">
        <v>100</v>
      </c>
      <c r="F54" s="17">
        <f t="shared" si="5"/>
        <v>0.01</v>
      </c>
      <c r="G54" t="b">
        <v>1</v>
      </c>
    </row>
    <row r="55" spans="2:8">
      <c r="F55" s="17">
        <f>SUM(F49:F54)</f>
        <v>0.06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5"/>
  <sheetViews>
    <sheetView topLeftCell="A262" workbookViewId="0">
      <selection activeCell="D278" sqref="D278"/>
    </sheetView>
  </sheetViews>
  <sheetFormatPr defaultColWidth="8.66666666666667" defaultRowHeight="17.4"/>
  <cols>
    <col min="1" max="1" width="7.08333333333333" customWidth="1"/>
    <col min="2" max="2" width="10.25"/>
    <col min="3" max="3" width="14.5" customWidth="1"/>
    <col min="4" max="4" width="7.25" customWidth="1"/>
    <col min="5" max="5" width="11.0833333333333" customWidth="1"/>
    <col min="6" max="6" width="11.0833333333333" style="17" customWidth="1"/>
    <col min="7" max="7" width="21.0833333333333" style="18" customWidth="1"/>
    <col min="8" max="8" width="28.4166666666667" customWidth="1"/>
    <col min="9" max="9" width="18" customWidth="1"/>
  </cols>
  <sheetData>
    <row r="1" spans="1:9">
      <c r="A1" t="s">
        <v>0</v>
      </c>
      <c r="B1" t="s">
        <v>1</v>
      </c>
      <c r="C1" t="s">
        <v>848</v>
      </c>
      <c r="D1" t="s">
        <v>904</v>
      </c>
      <c r="E1" t="s">
        <v>892</v>
      </c>
      <c r="F1" s="17" t="s">
        <v>795</v>
      </c>
      <c r="G1" s="18" t="s">
        <v>905</v>
      </c>
      <c r="H1" t="s">
        <v>209</v>
      </c>
    </row>
    <row r="2" spans="1:9">
      <c r="A2" t="s">
        <v>28</v>
      </c>
      <c r="B2" t="s">
        <v>29</v>
      </c>
      <c r="C2" t="s">
        <v>29</v>
      </c>
      <c r="D2" t="s">
        <v>29</v>
      </c>
      <c r="E2" t="s">
        <v>29</v>
      </c>
      <c r="F2" s="17" t="s">
        <v>35</v>
      </c>
      <c r="G2" s="18" t="s">
        <v>29</v>
      </c>
      <c r="H2" t="s">
        <v>209</v>
      </c>
    </row>
    <row r="3" s="2" customFormat="1" ht="66" customHeight="1" spans="1:9">
      <c r="A3" s="2" t="s">
        <v>39</v>
      </c>
      <c r="B3" s="2" t="s">
        <v>906</v>
      </c>
      <c r="C3" s="2" t="s">
        <v>862</v>
      </c>
      <c r="D3" s="2" t="s">
        <v>907</v>
      </c>
      <c r="E3" s="2" t="s">
        <v>908</v>
      </c>
      <c r="F3" s="19" t="s">
        <v>909</v>
      </c>
      <c r="G3" s="20" t="s">
        <v>910</v>
      </c>
      <c r="H3" s="2" t="s">
        <v>209</v>
      </c>
    </row>
    <row r="4" spans="1:9">
      <c r="A4" t="s">
        <v>39</v>
      </c>
      <c r="B4" t="s">
        <v>56</v>
      </c>
      <c r="C4" t="s">
        <v>811</v>
      </c>
      <c r="D4" t="s">
        <v>911</v>
      </c>
      <c r="E4" t="s">
        <v>912</v>
      </c>
      <c r="F4" s="17" t="s">
        <v>821</v>
      </c>
      <c r="G4" s="18" t="s">
        <v>905</v>
      </c>
      <c r="H4" t="s">
        <v>897</v>
      </c>
      <c r="I4" t="s">
        <v>897</v>
      </c>
    </row>
    <row r="5" spans="1:9">
      <c r="A5" t="s">
        <v>209</v>
      </c>
      <c r="B5" s="21">
        <v>100101002</v>
      </c>
      <c r="C5">
        <v>1001</v>
      </c>
      <c r="D5">
        <v>1002</v>
      </c>
      <c r="E5">
        <v>300</v>
      </c>
      <c r="F5" s="17" t="b">
        <v>1</v>
      </c>
      <c r="H5" t="s">
        <v>822</v>
      </c>
    </row>
    <row r="6" spans="1:9">
      <c r="A6" t="s">
        <v>209</v>
      </c>
      <c r="B6" s="21">
        <v>100101003</v>
      </c>
      <c r="C6">
        <v>1001</v>
      </c>
      <c r="D6">
        <v>1003</v>
      </c>
      <c r="E6">
        <v>90</v>
      </c>
      <c r="F6" s="17" t="b">
        <v>1</v>
      </c>
      <c r="H6" t="s">
        <v>822</v>
      </c>
    </row>
    <row r="7" spans="1:9">
      <c r="A7" t="s">
        <v>209</v>
      </c>
      <c r="B7" s="21">
        <v>100101004</v>
      </c>
      <c r="C7">
        <v>1001</v>
      </c>
      <c r="D7">
        <v>1004</v>
      </c>
      <c r="E7">
        <v>90</v>
      </c>
      <c r="F7" s="17" t="b">
        <v>1</v>
      </c>
      <c r="H7" t="s">
        <v>822</v>
      </c>
    </row>
    <row r="8" spans="1:9">
      <c r="A8" t="s">
        <v>209</v>
      </c>
      <c r="B8" s="21">
        <v>100101005</v>
      </c>
      <c r="C8">
        <v>1001</v>
      </c>
      <c r="D8">
        <v>1005</v>
      </c>
      <c r="E8" s="22">
        <v>190</v>
      </c>
      <c r="F8" s="17" t="b">
        <v>1</v>
      </c>
      <c r="H8" t="s">
        <v>822</v>
      </c>
    </row>
    <row r="9" spans="1:9">
      <c r="A9" t="s">
        <v>209</v>
      </c>
      <c r="B9" s="21">
        <v>100101006</v>
      </c>
      <c r="C9">
        <v>1001</v>
      </c>
      <c r="D9">
        <v>1006</v>
      </c>
      <c r="E9" s="22">
        <v>150</v>
      </c>
      <c r="F9" s="17" t="b">
        <v>1</v>
      </c>
      <c r="H9" t="s">
        <v>822</v>
      </c>
    </row>
    <row r="10" spans="1:9">
      <c r="A10" t="s">
        <v>209</v>
      </c>
      <c r="B10" s="21">
        <v>100101007</v>
      </c>
      <c r="C10">
        <v>1001</v>
      </c>
      <c r="D10">
        <v>1007</v>
      </c>
      <c r="E10">
        <v>200</v>
      </c>
      <c r="F10" s="17" t="b">
        <v>1</v>
      </c>
      <c r="H10" t="s">
        <v>822</v>
      </c>
    </row>
    <row r="11" spans="1:9">
      <c r="A11" t="s">
        <v>209</v>
      </c>
      <c r="B11" s="21">
        <v>100101008</v>
      </c>
      <c r="C11">
        <v>1001</v>
      </c>
      <c r="D11">
        <v>1008</v>
      </c>
      <c r="E11">
        <v>2</v>
      </c>
      <c r="F11" s="17" t="b">
        <v>1</v>
      </c>
      <c r="H11" t="s">
        <v>822</v>
      </c>
    </row>
    <row r="12" spans="1:9">
      <c r="A12" t="s">
        <v>209</v>
      </c>
      <c r="B12" s="21">
        <v>100101009</v>
      </c>
      <c r="C12">
        <v>1001</v>
      </c>
      <c r="D12">
        <v>1009</v>
      </c>
      <c r="E12">
        <v>200</v>
      </c>
      <c r="F12" s="17" t="b">
        <v>1</v>
      </c>
      <c r="H12" t="s">
        <v>822</v>
      </c>
    </row>
    <row r="13" spans="1:9">
      <c r="A13" t="s">
        <v>209</v>
      </c>
      <c r="B13" s="21">
        <v>100101010</v>
      </c>
      <c r="C13">
        <v>1001</v>
      </c>
      <c r="D13">
        <v>1010</v>
      </c>
      <c r="E13">
        <v>150</v>
      </c>
      <c r="F13" s="17" t="b">
        <v>1</v>
      </c>
      <c r="H13" t="s">
        <v>822</v>
      </c>
    </row>
    <row r="14" spans="1:9">
      <c r="A14" t="s">
        <v>209</v>
      </c>
      <c r="B14" s="21">
        <v>100101011</v>
      </c>
      <c r="C14">
        <v>1001</v>
      </c>
      <c r="D14">
        <v>1011</v>
      </c>
      <c r="E14">
        <v>2</v>
      </c>
      <c r="F14" s="17" t="b">
        <v>1</v>
      </c>
      <c r="H14" t="s">
        <v>822</v>
      </c>
    </row>
    <row r="15" spans="1:9">
      <c r="A15" t="s">
        <v>209</v>
      </c>
      <c r="B15" s="21">
        <v>100101012</v>
      </c>
      <c r="C15">
        <v>1001</v>
      </c>
      <c r="D15">
        <v>1012</v>
      </c>
      <c r="E15">
        <v>200</v>
      </c>
      <c r="F15" s="17" t="b">
        <v>1</v>
      </c>
      <c r="H15" t="s">
        <v>822</v>
      </c>
    </row>
    <row r="16" spans="1:9">
      <c r="B16" s="21">
        <v>100101013</v>
      </c>
      <c r="C16">
        <v>1001</v>
      </c>
      <c r="D16">
        <v>1013</v>
      </c>
      <c r="E16">
        <v>2</v>
      </c>
      <c r="F16" s="17" t="b">
        <v>1</v>
      </c>
      <c r="H16" t="s">
        <v>822</v>
      </c>
    </row>
    <row r="17" spans="2:8">
      <c r="B17" s="21">
        <v>100101014</v>
      </c>
      <c r="C17">
        <v>1001</v>
      </c>
      <c r="D17">
        <v>1014</v>
      </c>
      <c r="E17">
        <v>200</v>
      </c>
      <c r="F17" s="17" t="b">
        <v>1</v>
      </c>
      <c r="H17" t="s">
        <v>822</v>
      </c>
    </row>
    <row r="18" spans="2:8">
      <c r="B18" s="21">
        <v>100101015</v>
      </c>
      <c r="C18">
        <v>1001</v>
      </c>
      <c r="D18">
        <v>1015</v>
      </c>
      <c r="E18">
        <v>99</v>
      </c>
      <c r="F18" s="17" t="b">
        <v>1</v>
      </c>
      <c r="H18" t="s">
        <v>822</v>
      </c>
    </row>
    <row r="19" spans="2:8">
      <c r="B19" s="21">
        <v>100101016</v>
      </c>
      <c r="C19">
        <v>1001</v>
      </c>
      <c r="D19">
        <v>1016</v>
      </c>
      <c r="E19">
        <v>150</v>
      </c>
      <c r="F19" s="17" t="b">
        <v>1</v>
      </c>
      <c r="H19" t="s">
        <v>822</v>
      </c>
    </row>
    <row r="20" spans="2:8">
      <c r="B20" s="21">
        <v>100101017</v>
      </c>
      <c r="C20">
        <v>1001</v>
      </c>
      <c r="D20">
        <v>1017</v>
      </c>
      <c r="E20">
        <v>80</v>
      </c>
      <c r="F20" s="17" t="b">
        <v>1</v>
      </c>
      <c r="H20" t="s">
        <v>822</v>
      </c>
    </row>
    <row r="21" spans="2:8">
      <c r="B21" s="21">
        <v>100101018</v>
      </c>
      <c r="C21">
        <v>1001</v>
      </c>
      <c r="D21">
        <v>1018</v>
      </c>
      <c r="E21">
        <v>80</v>
      </c>
      <c r="F21" s="17" t="b">
        <v>1</v>
      </c>
      <c r="H21" t="s">
        <v>822</v>
      </c>
    </row>
    <row r="22" spans="2:8">
      <c r="B22" s="21">
        <v>100101019</v>
      </c>
      <c r="C22">
        <v>1001</v>
      </c>
      <c r="D22">
        <v>1019</v>
      </c>
      <c r="E22">
        <v>60</v>
      </c>
      <c r="F22" s="17" t="b">
        <v>1</v>
      </c>
      <c r="H22" t="s">
        <v>822</v>
      </c>
    </row>
    <row r="23" spans="2:8">
      <c r="B23" s="21">
        <v>100101020</v>
      </c>
      <c r="C23">
        <v>1001</v>
      </c>
      <c r="D23">
        <v>1020</v>
      </c>
      <c r="E23">
        <v>50</v>
      </c>
      <c r="F23" s="17" t="b">
        <v>1</v>
      </c>
      <c r="H23" t="s">
        <v>822</v>
      </c>
    </row>
    <row r="24" spans="2:8">
      <c r="B24" s="21">
        <v>100101021</v>
      </c>
      <c r="C24">
        <v>1001</v>
      </c>
      <c r="D24">
        <v>1021</v>
      </c>
      <c r="E24">
        <v>99</v>
      </c>
      <c r="F24" s="17" t="b">
        <v>1</v>
      </c>
      <c r="H24" t="s">
        <v>822</v>
      </c>
    </row>
    <row r="25" spans="2:8">
      <c r="B25" s="21">
        <v>100101022</v>
      </c>
      <c r="C25">
        <v>1001</v>
      </c>
      <c r="D25">
        <v>1022</v>
      </c>
      <c r="E25">
        <v>80</v>
      </c>
      <c r="F25" s="17" t="b">
        <v>1</v>
      </c>
      <c r="H25" t="s">
        <v>822</v>
      </c>
    </row>
    <row r="26" spans="2:8">
      <c r="B26" s="21">
        <v>100101023</v>
      </c>
      <c r="C26">
        <v>1001</v>
      </c>
      <c r="D26">
        <v>1023</v>
      </c>
      <c r="E26">
        <v>120</v>
      </c>
      <c r="F26" s="17" t="b">
        <v>1</v>
      </c>
      <c r="H26" t="s">
        <v>822</v>
      </c>
    </row>
    <row r="27" spans="2:8">
      <c r="B27" s="21">
        <v>100101024</v>
      </c>
      <c r="C27">
        <v>1001</v>
      </c>
      <c r="D27">
        <v>1024</v>
      </c>
      <c r="E27">
        <v>120</v>
      </c>
      <c r="F27" s="17" t="b">
        <v>1</v>
      </c>
      <c r="H27" t="s">
        <v>822</v>
      </c>
    </row>
    <row r="28" spans="2:8">
      <c r="B28" s="21">
        <v>100101025</v>
      </c>
      <c r="C28">
        <v>1001</v>
      </c>
      <c r="D28">
        <v>1025</v>
      </c>
      <c r="E28">
        <v>80</v>
      </c>
      <c r="F28" s="17" t="b">
        <v>1</v>
      </c>
      <c r="H28" t="s">
        <v>822</v>
      </c>
    </row>
    <row r="29" spans="2:8">
      <c r="B29" s="21">
        <v>100101026</v>
      </c>
      <c r="C29">
        <v>1001</v>
      </c>
      <c r="D29">
        <v>1026</v>
      </c>
      <c r="E29">
        <v>120</v>
      </c>
      <c r="F29" s="17" t="b">
        <v>1</v>
      </c>
      <c r="H29" t="s">
        <v>822</v>
      </c>
    </row>
    <row r="30" spans="2:8">
      <c r="B30" s="21">
        <v>100101027</v>
      </c>
      <c r="C30">
        <v>1001</v>
      </c>
      <c r="D30">
        <v>1027</v>
      </c>
      <c r="E30">
        <v>120</v>
      </c>
      <c r="F30" s="17" t="b">
        <v>1</v>
      </c>
      <c r="H30" t="s">
        <v>822</v>
      </c>
    </row>
    <row r="31" spans="2:8">
      <c r="B31" s="21">
        <v>100101028</v>
      </c>
      <c r="C31">
        <v>1001</v>
      </c>
      <c r="D31">
        <v>1028</v>
      </c>
      <c r="E31">
        <v>70</v>
      </c>
      <c r="F31" s="17" t="b">
        <v>1</v>
      </c>
      <c r="H31" t="s">
        <v>822</v>
      </c>
    </row>
    <row r="32" spans="2:8">
      <c r="B32" s="21">
        <v>100101029</v>
      </c>
      <c r="C32">
        <v>1001</v>
      </c>
      <c r="D32">
        <v>1029</v>
      </c>
      <c r="E32">
        <v>90</v>
      </c>
      <c r="F32" s="17" t="b">
        <v>1</v>
      </c>
      <c r="H32" t="s">
        <v>822</v>
      </c>
    </row>
    <row r="33" spans="1:8">
      <c r="B33" s="21">
        <v>100101030</v>
      </c>
      <c r="C33">
        <v>1001</v>
      </c>
      <c r="D33">
        <v>1030</v>
      </c>
      <c r="E33">
        <v>200</v>
      </c>
      <c r="F33" s="17" t="b">
        <v>1</v>
      </c>
      <c r="H33" t="s">
        <v>822</v>
      </c>
    </row>
    <row r="34" spans="1:8">
      <c r="B34" s="21">
        <v>100101031</v>
      </c>
      <c r="C34">
        <v>1001</v>
      </c>
      <c r="D34">
        <v>1031</v>
      </c>
      <c r="E34">
        <v>50</v>
      </c>
      <c r="F34" s="17" t="b">
        <v>1</v>
      </c>
      <c r="H34" t="s">
        <v>822</v>
      </c>
    </row>
    <row r="35" spans="1:8">
      <c r="B35" s="21">
        <v>100101032</v>
      </c>
      <c r="C35">
        <v>1001</v>
      </c>
      <c r="D35">
        <v>1032</v>
      </c>
      <c r="E35">
        <v>200</v>
      </c>
      <c r="F35" s="17" t="b">
        <v>1</v>
      </c>
      <c r="H35" t="s">
        <v>822</v>
      </c>
    </row>
    <row r="36" spans="1:8">
      <c r="B36" s="21">
        <v>100101033</v>
      </c>
      <c r="C36">
        <v>1001</v>
      </c>
      <c r="D36">
        <v>1033</v>
      </c>
      <c r="E36">
        <v>90</v>
      </c>
      <c r="F36" s="17" t="b">
        <v>1</v>
      </c>
      <c r="H36" t="s">
        <v>822</v>
      </c>
    </row>
    <row r="37" spans="1:8">
      <c r="B37" s="21">
        <v>100101034</v>
      </c>
      <c r="C37">
        <v>1001</v>
      </c>
      <c r="D37">
        <v>1034</v>
      </c>
      <c r="E37">
        <v>49</v>
      </c>
      <c r="F37" s="17" t="b">
        <v>1</v>
      </c>
      <c r="H37" t="s">
        <v>822</v>
      </c>
    </row>
    <row r="38" spans="1:8">
      <c r="B38" s="21">
        <v>100101035</v>
      </c>
      <c r="C38">
        <v>1001</v>
      </c>
      <c r="D38">
        <v>1035</v>
      </c>
      <c r="E38">
        <v>99</v>
      </c>
      <c r="F38" s="17" t="b">
        <v>1</v>
      </c>
      <c r="H38" t="s">
        <v>822</v>
      </c>
    </row>
    <row r="39" spans="1:8">
      <c r="B39" s="21">
        <v>100101036</v>
      </c>
      <c r="C39">
        <v>1001</v>
      </c>
      <c r="D39">
        <v>1036</v>
      </c>
      <c r="E39">
        <v>49</v>
      </c>
      <c r="F39" s="17" t="b">
        <v>1</v>
      </c>
      <c r="H39" t="s">
        <v>822</v>
      </c>
    </row>
    <row r="40" spans="1:8">
      <c r="B40" s="21">
        <v>100101037</v>
      </c>
      <c r="C40">
        <v>1001</v>
      </c>
      <c r="D40">
        <v>1037</v>
      </c>
      <c r="E40">
        <v>99</v>
      </c>
      <c r="F40" s="17" t="b">
        <v>1</v>
      </c>
      <c r="H40" t="s">
        <v>822</v>
      </c>
    </row>
    <row r="41" spans="1:8">
      <c r="A41" t="s">
        <v>209</v>
      </c>
      <c r="B41" s="21">
        <v>100102001</v>
      </c>
      <c r="C41">
        <v>1001</v>
      </c>
      <c r="D41">
        <v>2001</v>
      </c>
      <c r="E41">
        <v>300</v>
      </c>
      <c r="F41" s="17" t="b">
        <v>1</v>
      </c>
      <c r="H41" t="s">
        <v>822</v>
      </c>
    </row>
    <row r="42" spans="1:8">
      <c r="A42" t="s">
        <v>209</v>
      </c>
      <c r="B42" s="21">
        <v>100102002</v>
      </c>
      <c r="C42">
        <v>1001</v>
      </c>
      <c r="D42">
        <v>2002</v>
      </c>
      <c r="E42">
        <v>300</v>
      </c>
      <c r="F42" s="17" t="b">
        <v>1</v>
      </c>
      <c r="H42" t="s">
        <v>822</v>
      </c>
    </row>
    <row r="43" spans="1:8">
      <c r="A43" t="s">
        <v>209</v>
      </c>
      <c r="B43" s="21">
        <v>100102003</v>
      </c>
      <c r="C43">
        <v>1001</v>
      </c>
      <c r="D43">
        <v>2003</v>
      </c>
      <c r="E43">
        <v>300</v>
      </c>
      <c r="F43" s="17" t="b">
        <v>1</v>
      </c>
      <c r="H43" t="s">
        <v>822</v>
      </c>
    </row>
    <row r="44" spans="1:8">
      <c r="A44" t="s">
        <v>209</v>
      </c>
      <c r="B44" s="21">
        <v>100102004</v>
      </c>
      <c r="C44">
        <v>1001</v>
      </c>
      <c r="D44">
        <v>2004</v>
      </c>
      <c r="E44">
        <v>300</v>
      </c>
      <c r="F44" s="17" t="b">
        <v>1</v>
      </c>
      <c r="H44" t="s">
        <v>822</v>
      </c>
    </row>
    <row r="45" spans="1:8">
      <c r="A45" t="s">
        <v>209</v>
      </c>
      <c r="B45" s="21">
        <v>100102005</v>
      </c>
      <c r="C45">
        <v>1001</v>
      </c>
      <c r="D45">
        <v>2005</v>
      </c>
      <c r="E45">
        <v>300</v>
      </c>
      <c r="F45" s="17" t="b">
        <v>1</v>
      </c>
      <c r="H45" t="s">
        <v>822</v>
      </c>
    </row>
    <row r="46" spans="1:8">
      <c r="A46" t="s">
        <v>209</v>
      </c>
      <c r="B46" s="21">
        <v>100102006</v>
      </c>
      <c r="C46">
        <v>1001</v>
      </c>
      <c r="D46">
        <v>2006</v>
      </c>
      <c r="E46">
        <v>300</v>
      </c>
      <c r="F46" s="17" t="b">
        <v>1</v>
      </c>
      <c r="H46" t="s">
        <v>822</v>
      </c>
    </row>
    <row r="47" spans="1:8">
      <c r="A47" t="s">
        <v>209</v>
      </c>
      <c r="B47" s="21">
        <v>100102007</v>
      </c>
      <c r="C47">
        <v>1001</v>
      </c>
      <c r="D47">
        <v>2007</v>
      </c>
      <c r="E47">
        <v>300</v>
      </c>
      <c r="F47" s="17" t="b">
        <v>1</v>
      </c>
      <c r="H47" t="s">
        <v>822</v>
      </c>
    </row>
    <row r="48" spans="1:8">
      <c r="A48" t="s">
        <v>209</v>
      </c>
      <c r="B48" s="21">
        <v>100102008</v>
      </c>
      <c r="C48">
        <v>1001</v>
      </c>
      <c r="D48">
        <v>2008</v>
      </c>
      <c r="E48">
        <v>300</v>
      </c>
      <c r="F48" s="17" t="b">
        <v>1</v>
      </c>
      <c r="H48" t="s">
        <v>822</v>
      </c>
    </row>
    <row r="49" spans="1:8">
      <c r="A49" t="s">
        <v>209</v>
      </c>
      <c r="B49" s="21">
        <v>100102009</v>
      </c>
      <c r="C49">
        <v>1001</v>
      </c>
      <c r="D49">
        <v>2009</v>
      </c>
      <c r="E49">
        <v>300</v>
      </c>
      <c r="F49" s="17" t="b">
        <v>1</v>
      </c>
      <c r="H49" t="s">
        <v>822</v>
      </c>
    </row>
    <row r="50" spans="1:8">
      <c r="A50" t="s">
        <v>209</v>
      </c>
      <c r="B50" s="21">
        <v>100102010</v>
      </c>
      <c r="C50">
        <v>1001</v>
      </c>
      <c r="D50">
        <v>2010</v>
      </c>
      <c r="E50">
        <v>300</v>
      </c>
      <c r="F50" s="17" t="b">
        <v>1</v>
      </c>
      <c r="H50" t="s">
        <v>822</v>
      </c>
    </row>
    <row r="51" spans="1:8">
      <c r="A51" t="s">
        <v>209</v>
      </c>
      <c r="B51" s="21">
        <v>100102011</v>
      </c>
      <c r="C51">
        <v>1001</v>
      </c>
      <c r="D51">
        <v>2011</v>
      </c>
      <c r="E51">
        <v>300</v>
      </c>
      <c r="F51" s="17" t="b">
        <v>1</v>
      </c>
      <c r="H51" t="s">
        <v>822</v>
      </c>
    </row>
    <row r="52" spans="1:8">
      <c r="A52" t="s">
        <v>209</v>
      </c>
      <c r="B52" s="21">
        <v>100102012</v>
      </c>
      <c r="C52">
        <v>1001</v>
      </c>
      <c r="D52">
        <v>2012</v>
      </c>
      <c r="E52">
        <v>300</v>
      </c>
      <c r="F52" s="17" t="b">
        <v>1</v>
      </c>
      <c r="H52" t="s">
        <v>822</v>
      </c>
    </row>
    <row r="53" spans="1:8">
      <c r="A53" t="s">
        <v>209</v>
      </c>
      <c r="B53" s="21">
        <v>100102013</v>
      </c>
      <c r="C53">
        <v>1001</v>
      </c>
      <c r="D53">
        <v>2013</v>
      </c>
      <c r="E53">
        <v>100</v>
      </c>
      <c r="F53" s="17" t="b">
        <v>1</v>
      </c>
      <c r="H53" t="s">
        <v>822</v>
      </c>
    </row>
    <row r="54" spans="1:8">
      <c r="A54" t="s">
        <v>209</v>
      </c>
      <c r="B54" s="21">
        <v>100102014</v>
      </c>
      <c r="C54">
        <v>1001</v>
      </c>
      <c r="D54">
        <v>2014</v>
      </c>
      <c r="E54">
        <v>100</v>
      </c>
      <c r="F54" s="17" t="b">
        <v>1</v>
      </c>
      <c r="H54" t="s">
        <v>822</v>
      </c>
    </row>
    <row r="55" spans="1:8">
      <c r="A55" t="s">
        <v>209</v>
      </c>
      <c r="B55" s="21">
        <v>100102015</v>
      </c>
      <c r="C55">
        <v>1001</v>
      </c>
      <c r="D55">
        <v>2015</v>
      </c>
      <c r="E55">
        <v>100</v>
      </c>
      <c r="F55" s="17" t="b">
        <v>1</v>
      </c>
      <c r="H55" t="s">
        <v>822</v>
      </c>
    </row>
    <row r="56" spans="1:8">
      <c r="A56" t="s">
        <v>209</v>
      </c>
      <c r="B56" s="21">
        <v>100102016</v>
      </c>
      <c r="C56">
        <v>1001</v>
      </c>
      <c r="D56">
        <v>2016</v>
      </c>
      <c r="E56" s="22">
        <v>100</v>
      </c>
      <c r="F56" s="17" t="b">
        <v>1</v>
      </c>
      <c r="H56" t="s">
        <v>822</v>
      </c>
    </row>
    <row r="57" spans="1:8">
      <c r="A57" t="s">
        <v>209</v>
      </c>
      <c r="B57" s="21">
        <v>100102017</v>
      </c>
      <c r="C57">
        <v>1001</v>
      </c>
      <c r="D57">
        <v>2017</v>
      </c>
      <c r="E57" s="22">
        <v>100</v>
      </c>
      <c r="F57" s="17" t="b">
        <v>1</v>
      </c>
      <c r="H57" t="s">
        <v>822</v>
      </c>
    </row>
    <row r="58" spans="1:8">
      <c r="A58" t="s">
        <v>209</v>
      </c>
      <c r="B58" s="21">
        <v>100102018</v>
      </c>
      <c r="C58">
        <v>1001</v>
      </c>
      <c r="D58">
        <v>2018</v>
      </c>
      <c r="E58">
        <v>100</v>
      </c>
      <c r="F58" s="17" t="b">
        <v>1</v>
      </c>
      <c r="H58" t="s">
        <v>822</v>
      </c>
    </row>
    <row r="59" spans="1:8">
      <c r="A59" t="s">
        <v>209</v>
      </c>
      <c r="B59" s="21">
        <v>100102019</v>
      </c>
      <c r="C59">
        <v>1001</v>
      </c>
      <c r="D59">
        <v>2019</v>
      </c>
      <c r="E59">
        <v>100</v>
      </c>
      <c r="F59" s="17" t="b">
        <v>1</v>
      </c>
      <c r="H59" t="s">
        <v>822</v>
      </c>
    </row>
    <row r="60" spans="1:8">
      <c r="A60" t="s">
        <v>209</v>
      </c>
      <c r="B60" s="21">
        <v>100102020</v>
      </c>
      <c r="C60">
        <v>1001</v>
      </c>
      <c r="D60">
        <v>2020</v>
      </c>
      <c r="E60">
        <v>100</v>
      </c>
      <c r="F60" s="17" t="b">
        <v>1</v>
      </c>
      <c r="H60" t="s">
        <v>822</v>
      </c>
    </row>
    <row r="61" spans="1:8">
      <c r="A61" t="s">
        <v>209</v>
      </c>
      <c r="B61" s="21">
        <v>100102021</v>
      </c>
      <c r="C61">
        <v>1001</v>
      </c>
      <c r="D61">
        <v>2021</v>
      </c>
      <c r="E61">
        <v>100</v>
      </c>
      <c r="F61" s="17" t="b">
        <v>1</v>
      </c>
      <c r="H61" t="s">
        <v>822</v>
      </c>
    </row>
    <row r="62" spans="1:8">
      <c r="A62" t="s">
        <v>209</v>
      </c>
      <c r="B62" s="21">
        <v>100102022</v>
      </c>
      <c r="C62">
        <v>1001</v>
      </c>
      <c r="D62">
        <v>2022</v>
      </c>
      <c r="E62">
        <v>100</v>
      </c>
      <c r="F62" s="17" t="b">
        <v>1</v>
      </c>
      <c r="H62" t="s">
        <v>822</v>
      </c>
    </row>
    <row r="63" spans="1:8">
      <c r="A63" t="s">
        <v>209</v>
      </c>
      <c r="B63" s="21">
        <v>100102023</v>
      </c>
      <c r="C63">
        <v>1001</v>
      </c>
      <c r="D63">
        <v>2023</v>
      </c>
      <c r="E63">
        <v>100</v>
      </c>
      <c r="F63" s="17" t="b">
        <v>1</v>
      </c>
      <c r="H63" t="s">
        <v>822</v>
      </c>
    </row>
    <row r="64" spans="1:8">
      <c r="A64" t="s">
        <v>209</v>
      </c>
      <c r="B64" s="21">
        <v>100102024</v>
      </c>
      <c r="C64">
        <v>1001</v>
      </c>
      <c r="D64">
        <v>2024</v>
      </c>
      <c r="E64">
        <v>100</v>
      </c>
      <c r="F64" s="17" t="b">
        <v>1</v>
      </c>
      <c r="H64" t="s">
        <v>822</v>
      </c>
    </row>
    <row r="65" spans="1:8">
      <c r="A65" t="s">
        <v>209</v>
      </c>
      <c r="B65" s="21">
        <v>100102025</v>
      </c>
      <c r="C65">
        <v>1001</v>
      </c>
      <c r="D65">
        <v>2025</v>
      </c>
      <c r="E65">
        <v>100</v>
      </c>
      <c r="F65" s="17" t="b">
        <v>1</v>
      </c>
      <c r="H65" t="s">
        <v>822</v>
      </c>
    </row>
    <row r="66" spans="1:8">
      <c r="A66" t="s">
        <v>209</v>
      </c>
      <c r="B66" s="21">
        <v>100102026</v>
      </c>
      <c r="C66">
        <v>1001</v>
      </c>
      <c r="D66">
        <v>2026</v>
      </c>
      <c r="E66">
        <v>100</v>
      </c>
      <c r="F66" s="17" t="b">
        <v>1</v>
      </c>
      <c r="H66" t="s">
        <v>822</v>
      </c>
    </row>
    <row r="67" spans="1:8">
      <c r="A67" t="s">
        <v>209</v>
      </c>
      <c r="B67" s="21">
        <v>100102027</v>
      </c>
      <c r="C67">
        <v>1001</v>
      </c>
      <c r="D67">
        <v>2027</v>
      </c>
      <c r="E67">
        <v>100</v>
      </c>
      <c r="F67" s="17" t="b">
        <v>1</v>
      </c>
      <c r="H67" t="s">
        <v>822</v>
      </c>
    </row>
    <row r="68" spans="1:8">
      <c r="A68" t="s">
        <v>209</v>
      </c>
      <c r="B68" s="21">
        <v>100102028</v>
      </c>
      <c r="C68">
        <v>1001</v>
      </c>
      <c r="D68">
        <v>2028</v>
      </c>
      <c r="E68">
        <v>100</v>
      </c>
      <c r="F68" s="17" t="b">
        <v>1</v>
      </c>
      <c r="H68" t="s">
        <v>822</v>
      </c>
    </row>
    <row r="69" spans="1:8">
      <c r="A69" t="s">
        <v>209</v>
      </c>
      <c r="B69" s="21">
        <v>100102029</v>
      </c>
      <c r="C69">
        <v>1001</v>
      </c>
      <c r="D69">
        <v>2029</v>
      </c>
      <c r="E69">
        <v>100</v>
      </c>
      <c r="F69" s="17" t="b">
        <v>1</v>
      </c>
      <c r="H69" t="s">
        <v>822</v>
      </c>
    </row>
    <row r="70" spans="1:8">
      <c r="A70" t="s">
        <v>209</v>
      </c>
      <c r="B70" s="21">
        <f t="shared" ref="B70:B133" si="0">C70*100000+D70</f>
        <v>100102030</v>
      </c>
      <c r="C70">
        <v>1001</v>
      </c>
      <c r="D70">
        <v>2030</v>
      </c>
      <c r="E70">
        <v>100</v>
      </c>
      <c r="F70" s="17" t="b">
        <v>1</v>
      </c>
      <c r="H70" t="s">
        <v>822</v>
      </c>
    </row>
    <row r="71" spans="1:8">
      <c r="A71" t="s">
        <v>209</v>
      </c>
      <c r="B71" s="21">
        <f t="shared" si="0"/>
        <v>100102031</v>
      </c>
      <c r="C71">
        <v>1001</v>
      </c>
      <c r="D71">
        <v>2031</v>
      </c>
      <c r="E71">
        <v>100</v>
      </c>
      <c r="F71" s="17" t="b">
        <v>1</v>
      </c>
      <c r="H71" t="s">
        <v>822</v>
      </c>
    </row>
    <row r="72" spans="1:8">
      <c r="A72" t="s">
        <v>209</v>
      </c>
      <c r="B72" s="21">
        <f t="shared" si="0"/>
        <v>100102032</v>
      </c>
      <c r="C72">
        <v>1001</v>
      </c>
      <c r="D72">
        <v>2032</v>
      </c>
      <c r="E72">
        <v>100</v>
      </c>
      <c r="F72" s="17" t="b">
        <v>1</v>
      </c>
      <c r="H72" t="s">
        <v>822</v>
      </c>
    </row>
    <row r="73" spans="1:8">
      <c r="A73" t="s">
        <v>209</v>
      </c>
      <c r="B73" s="21">
        <f t="shared" si="0"/>
        <v>100102033</v>
      </c>
      <c r="C73">
        <v>1001</v>
      </c>
      <c r="D73">
        <v>2033</v>
      </c>
      <c r="E73">
        <v>100</v>
      </c>
      <c r="F73" s="17" t="b">
        <v>1</v>
      </c>
      <c r="H73" t="s">
        <v>822</v>
      </c>
    </row>
    <row r="74" spans="1:8">
      <c r="A74" t="s">
        <v>209</v>
      </c>
      <c r="B74" s="21">
        <f t="shared" si="0"/>
        <v>100105001</v>
      </c>
      <c r="C74">
        <v>1001</v>
      </c>
      <c r="D74">
        <v>5001</v>
      </c>
      <c r="E74">
        <v>100</v>
      </c>
      <c r="F74" s="17" t="b">
        <v>1</v>
      </c>
      <c r="H74" t="s">
        <v>822</v>
      </c>
    </row>
    <row r="75" spans="1:8">
      <c r="A75" t="s">
        <v>209</v>
      </c>
      <c r="B75" s="21">
        <f t="shared" si="0"/>
        <v>100105002</v>
      </c>
      <c r="C75">
        <v>1001</v>
      </c>
      <c r="D75">
        <v>5002</v>
      </c>
      <c r="E75">
        <v>100</v>
      </c>
      <c r="F75" s="17" t="b">
        <v>1</v>
      </c>
      <c r="H75" t="s">
        <v>822</v>
      </c>
    </row>
    <row r="76" spans="1:8">
      <c r="A76" t="s">
        <v>209</v>
      </c>
      <c r="B76" s="21">
        <f t="shared" si="0"/>
        <v>100105003</v>
      </c>
      <c r="C76">
        <v>1001</v>
      </c>
      <c r="D76">
        <v>5003</v>
      </c>
      <c r="E76">
        <v>100</v>
      </c>
      <c r="F76" s="17" t="b">
        <v>1</v>
      </c>
      <c r="H76" t="s">
        <v>822</v>
      </c>
    </row>
    <row r="77" spans="1:8">
      <c r="A77" t="s">
        <v>209</v>
      </c>
      <c r="B77" s="21">
        <f t="shared" si="0"/>
        <v>100105004</v>
      </c>
      <c r="C77">
        <v>1001</v>
      </c>
      <c r="D77">
        <v>5004</v>
      </c>
      <c r="E77">
        <v>100</v>
      </c>
      <c r="F77" s="17" t="b">
        <v>1</v>
      </c>
      <c r="H77" t="s">
        <v>822</v>
      </c>
    </row>
    <row r="78" spans="1:8">
      <c r="A78" t="s">
        <v>209</v>
      </c>
      <c r="B78" s="21">
        <f t="shared" si="0"/>
        <v>100105005</v>
      </c>
      <c r="C78">
        <v>1001</v>
      </c>
      <c r="D78">
        <v>5005</v>
      </c>
      <c r="E78">
        <v>100</v>
      </c>
      <c r="F78" s="17" t="b">
        <v>1</v>
      </c>
      <c r="H78" t="s">
        <v>822</v>
      </c>
    </row>
    <row r="79" spans="1:8">
      <c r="A79" t="s">
        <v>209</v>
      </c>
      <c r="B79" s="21">
        <f t="shared" si="0"/>
        <v>100105006</v>
      </c>
      <c r="C79">
        <v>1001</v>
      </c>
      <c r="D79">
        <v>5006</v>
      </c>
      <c r="E79">
        <v>100</v>
      </c>
      <c r="F79" s="17" t="b">
        <v>1</v>
      </c>
      <c r="H79" t="s">
        <v>822</v>
      </c>
    </row>
    <row r="80" spans="1:8">
      <c r="A80" t="s">
        <v>209</v>
      </c>
      <c r="B80" s="21">
        <f t="shared" si="0"/>
        <v>100105007</v>
      </c>
      <c r="C80">
        <v>1001</v>
      </c>
      <c r="D80">
        <v>5007</v>
      </c>
      <c r="E80">
        <v>100</v>
      </c>
      <c r="F80" s="17" t="b">
        <v>1</v>
      </c>
      <c r="H80" t="s">
        <v>822</v>
      </c>
    </row>
    <row r="81" spans="1:8">
      <c r="A81" t="s">
        <v>209</v>
      </c>
      <c r="B81" s="21">
        <f t="shared" si="0"/>
        <v>100105008</v>
      </c>
      <c r="C81">
        <v>1001</v>
      </c>
      <c r="D81">
        <v>5008</v>
      </c>
      <c r="E81">
        <v>100</v>
      </c>
      <c r="F81" s="17" t="b">
        <v>1</v>
      </c>
      <c r="H81" t="s">
        <v>822</v>
      </c>
    </row>
    <row r="82" spans="1:8">
      <c r="A82" t="s">
        <v>209</v>
      </c>
      <c r="B82" s="21">
        <f t="shared" si="0"/>
        <v>100106002</v>
      </c>
      <c r="C82">
        <v>1001</v>
      </c>
      <c r="D82">
        <v>6002</v>
      </c>
      <c r="E82">
        <v>200</v>
      </c>
      <c r="F82" s="17" t="b">
        <v>1</v>
      </c>
      <c r="H82" t="s">
        <v>822</v>
      </c>
    </row>
    <row r="83" spans="1:8">
      <c r="A83" t="s">
        <v>209</v>
      </c>
      <c r="B83" s="21">
        <f t="shared" si="0"/>
        <v>100106003</v>
      </c>
      <c r="C83">
        <v>1001</v>
      </c>
      <c r="D83">
        <v>6003</v>
      </c>
      <c r="E83">
        <v>200</v>
      </c>
      <c r="F83" s="17" t="b">
        <v>1</v>
      </c>
      <c r="H83" t="s">
        <v>822</v>
      </c>
    </row>
    <row r="84" spans="1:8">
      <c r="A84" t="s">
        <v>209</v>
      </c>
      <c r="B84" s="21">
        <f t="shared" si="0"/>
        <v>100106004</v>
      </c>
      <c r="C84">
        <v>1001</v>
      </c>
      <c r="D84">
        <v>6004</v>
      </c>
      <c r="E84">
        <v>200</v>
      </c>
      <c r="F84" s="17" t="b">
        <v>1</v>
      </c>
      <c r="H84" t="s">
        <v>822</v>
      </c>
    </row>
    <row r="85" spans="1:8">
      <c r="A85" t="s">
        <v>209</v>
      </c>
      <c r="B85" s="21">
        <f t="shared" si="0"/>
        <v>100106005</v>
      </c>
      <c r="C85">
        <v>1001</v>
      </c>
      <c r="D85">
        <v>6005</v>
      </c>
      <c r="E85">
        <v>200</v>
      </c>
      <c r="F85" s="17" t="b">
        <v>1</v>
      </c>
      <c r="H85" t="s">
        <v>822</v>
      </c>
    </row>
    <row r="86" spans="1:8">
      <c r="A86" t="s">
        <v>209</v>
      </c>
      <c r="B86" s="21">
        <f t="shared" si="0"/>
        <v>100106006</v>
      </c>
      <c r="C86">
        <v>1001</v>
      </c>
      <c r="D86">
        <v>6006</v>
      </c>
      <c r="E86">
        <v>200</v>
      </c>
      <c r="F86" s="17" t="b">
        <v>1</v>
      </c>
      <c r="H86" t="s">
        <v>822</v>
      </c>
    </row>
    <row r="87" spans="1:8">
      <c r="A87" t="s">
        <v>209</v>
      </c>
      <c r="B87" s="21">
        <f t="shared" si="0"/>
        <v>100106007</v>
      </c>
      <c r="C87">
        <v>1001</v>
      </c>
      <c r="D87">
        <v>6007</v>
      </c>
      <c r="E87">
        <v>200</v>
      </c>
      <c r="F87" s="17" t="b">
        <v>1</v>
      </c>
      <c r="H87" t="s">
        <v>822</v>
      </c>
    </row>
    <row r="88" spans="1:8">
      <c r="A88" t="s">
        <v>209</v>
      </c>
      <c r="B88" s="21">
        <f t="shared" si="0"/>
        <v>100106008</v>
      </c>
      <c r="C88">
        <v>1001</v>
      </c>
      <c r="D88">
        <v>6008</v>
      </c>
      <c r="E88">
        <v>300</v>
      </c>
      <c r="F88" s="17" t="b">
        <v>1</v>
      </c>
      <c r="H88" t="s">
        <v>822</v>
      </c>
    </row>
    <row r="89" spans="1:8">
      <c r="A89" t="s">
        <v>209</v>
      </c>
      <c r="B89" s="21">
        <f t="shared" si="0"/>
        <v>100106009</v>
      </c>
      <c r="C89">
        <v>1001</v>
      </c>
      <c r="D89">
        <v>6009</v>
      </c>
      <c r="E89">
        <v>300</v>
      </c>
      <c r="F89" s="17" t="b">
        <v>1</v>
      </c>
      <c r="H89" t="s">
        <v>822</v>
      </c>
    </row>
    <row r="90" spans="1:8">
      <c r="A90" t="s">
        <v>209</v>
      </c>
      <c r="B90" s="21">
        <f t="shared" si="0"/>
        <v>100106010</v>
      </c>
      <c r="C90">
        <v>1001</v>
      </c>
      <c r="D90">
        <v>6010</v>
      </c>
      <c r="E90">
        <v>300</v>
      </c>
      <c r="F90" s="17" t="b">
        <v>1</v>
      </c>
      <c r="H90" t="s">
        <v>822</v>
      </c>
    </row>
    <row r="91" spans="1:8">
      <c r="A91" t="s">
        <v>209</v>
      </c>
      <c r="B91" s="21">
        <f t="shared" si="0"/>
        <v>100106011</v>
      </c>
      <c r="C91">
        <v>1001</v>
      </c>
      <c r="D91">
        <v>6011</v>
      </c>
      <c r="E91">
        <v>300</v>
      </c>
      <c r="F91" s="17" t="b">
        <v>1</v>
      </c>
      <c r="H91" t="s">
        <v>822</v>
      </c>
    </row>
    <row r="92" spans="1:8">
      <c r="A92" t="s">
        <v>209</v>
      </c>
      <c r="B92" s="21">
        <f t="shared" si="0"/>
        <v>100107001</v>
      </c>
      <c r="C92">
        <v>1001</v>
      </c>
      <c r="D92">
        <v>7001</v>
      </c>
      <c r="E92">
        <v>300</v>
      </c>
      <c r="F92" s="17" t="b">
        <v>1</v>
      </c>
      <c r="H92" t="s">
        <v>822</v>
      </c>
    </row>
    <row r="93" spans="1:8">
      <c r="A93" t="s">
        <v>209</v>
      </c>
      <c r="B93" s="21">
        <f t="shared" si="0"/>
        <v>100107002</v>
      </c>
      <c r="C93">
        <v>1001</v>
      </c>
      <c r="D93">
        <v>7002</v>
      </c>
      <c r="E93">
        <v>300</v>
      </c>
      <c r="F93" s="17" t="b">
        <v>1</v>
      </c>
      <c r="H93" t="s">
        <v>822</v>
      </c>
    </row>
    <row r="94" spans="1:8">
      <c r="A94" t="s">
        <v>209</v>
      </c>
      <c r="B94" s="21">
        <f t="shared" si="0"/>
        <v>100107003</v>
      </c>
      <c r="C94">
        <v>1001</v>
      </c>
      <c r="D94">
        <v>7003</v>
      </c>
      <c r="E94">
        <v>100</v>
      </c>
      <c r="F94" s="17" t="b">
        <v>1</v>
      </c>
      <c r="H94" t="s">
        <v>822</v>
      </c>
    </row>
    <row r="95" spans="1:8">
      <c r="A95" t="s">
        <v>209</v>
      </c>
      <c r="B95" s="21">
        <f t="shared" si="0"/>
        <v>100107005</v>
      </c>
      <c r="C95">
        <v>1001</v>
      </c>
      <c r="D95">
        <v>7005</v>
      </c>
      <c r="E95">
        <v>100</v>
      </c>
      <c r="F95" s="17" t="b">
        <v>1</v>
      </c>
      <c r="H95" t="s">
        <v>822</v>
      </c>
    </row>
    <row r="96" spans="1:8">
      <c r="A96" t="s">
        <v>209</v>
      </c>
      <c r="B96" s="21">
        <f t="shared" si="0"/>
        <v>100107006</v>
      </c>
      <c r="C96">
        <v>1001</v>
      </c>
      <c r="D96">
        <v>7006</v>
      </c>
      <c r="E96">
        <v>300</v>
      </c>
      <c r="F96" s="17" t="b">
        <v>1</v>
      </c>
      <c r="H96" t="s">
        <v>822</v>
      </c>
    </row>
    <row r="97" spans="1:8">
      <c r="A97" t="s">
        <v>209</v>
      </c>
      <c r="B97" s="21">
        <f t="shared" si="0"/>
        <v>100107007</v>
      </c>
      <c r="C97">
        <v>1001</v>
      </c>
      <c r="D97">
        <v>7007</v>
      </c>
      <c r="E97">
        <v>100</v>
      </c>
      <c r="F97" s="17" t="b">
        <v>1</v>
      </c>
      <c r="H97" t="s">
        <v>822</v>
      </c>
    </row>
    <row r="98" spans="1:8">
      <c r="A98" t="s">
        <v>209</v>
      </c>
      <c r="B98" s="21">
        <f t="shared" si="0"/>
        <v>100107008</v>
      </c>
      <c r="C98">
        <v>1001</v>
      </c>
      <c r="D98">
        <v>7008</v>
      </c>
      <c r="E98">
        <v>300</v>
      </c>
      <c r="F98" s="17" t="b">
        <v>1</v>
      </c>
      <c r="H98" t="s">
        <v>822</v>
      </c>
    </row>
    <row r="99" spans="1:8">
      <c r="A99" t="s">
        <v>209</v>
      </c>
      <c r="B99" s="21">
        <f t="shared" si="0"/>
        <v>100107009</v>
      </c>
      <c r="C99">
        <v>1001</v>
      </c>
      <c r="D99">
        <v>7009</v>
      </c>
      <c r="E99">
        <v>300</v>
      </c>
      <c r="F99" s="17" t="b">
        <v>1</v>
      </c>
      <c r="H99" t="s">
        <v>822</v>
      </c>
    </row>
    <row r="100" spans="1:8">
      <c r="A100" t="s">
        <v>209</v>
      </c>
      <c r="B100" s="21">
        <f t="shared" si="0"/>
        <v>100107010</v>
      </c>
      <c r="C100">
        <v>1001</v>
      </c>
      <c r="D100">
        <v>7010</v>
      </c>
      <c r="E100">
        <v>200</v>
      </c>
      <c r="F100" s="17" t="b">
        <v>1</v>
      </c>
      <c r="H100" t="s">
        <v>822</v>
      </c>
    </row>
    <row r="101" spans="1:8">
      <c r="A101" t="s">
        <v>209</v>
      </c>
      <c r="B101" s="21">
        <f t="shared" si="0"/>
        <v>100107011</v>
      </c>
      <c r="C101">
        <v>1001</v>
      </c>
      <c r="D101">
        <v>7011</v>
      </c>
      <c r="E101">
        <v>300</v>
      </c>
      <c r="F101" s="17" t="b">
        <v>1</v>
      </c>
      <c r="H101" t="s">
        <v>822</v>
      </c>
    </row>
    <row r="102" spans="1:8">
      <c r="A102" t="s">
        <v>209</v>
      </c>
      <c r="B102" s="21">
        <f t="shared" si="0"/>
        <v>100107012</v>
      </c>
      <c r="C102">
        <v>1001</v>
      </c>
      <c r="D102">
        <v>7012</v>
      </c>
      <c r="E102">
        <v>300</v>
      </c>
      <c r="F102" s="17" t="b">
        <v>1</v>
      </c>
      <c r="H102" t="s">
        <v>822</v>
      </c>
    </row>
    <row r="103" spans="1:8">
      <c r="A103" t="s">
        <v>209</v>
      </c>
      <c r="B103" s="21">
        <f t="shared" si="0"/>
        <v>100107013</v>
      </c>
      <c r="C103">
        <v>1001</v>
      </c>
      <c r="D103">
        <v>7013</v>
      </c>
      <c r="E103">
        <v>300</v>
      </c>
      <c r="F103" s="17" t="b">
        <v>1</v>
      </c>
      <c r="H103" t="s">
        <v>822</v>
      </c>
    </row>
    <row r="104" spans="1:8">
      <c r="A104" t="s">
        <v>209</v>
      </c>
      <c r="B104" s="21">
        <f t="shared" si="0"/>
        <v>100107014</v>
      </c>
      <c r="C104">
        <v>1001</v>
      </c>
      <c r="D104">
        <v>7014</v>
      </c>
      <c r="E104">
        <v>300</v>
      </c>
      <c r="F104" s="17" t="b">
        <v>1</v>
      </c>
      <c r="H104" t="s">
        <v>822</v>
      </c>
    </row>
    <row r="105" spans="1:8">
      <c r="A105" t="s">
        <v>209</v>
      </c>
      <c r="B105" s="21">
        <f t="shared" si="0"/>
        <v>100107015</v>
      </c>
      <c r="C105">
        <v>1001</v>
      </c>
      <c r="D105">
        <v>7015</v>
      </c>
      <c r="E105">
        <v>100</v>
      </c>
      <c r="F105" s="17" t="b">
        <v>1</v>
      </c>
      <c r="H105" t="s">
        <v>822</v>
      </c>
    </row>
    <row r="106" spans="1:8">
      <c r="A106" t="s">
        <v>209</v>
      </c>
      <c r="B106" s="21">
        <f t="shared" si="0"/>
        <v>100107016</v>
      </c>
      <c r="C106">
        <v>1001</v>
      </c>
      <c r="D106">
        <v>7016</v>
      </c>
      <c r="E106">
        <v>300</v>
      </c>
      <c r="F106" s="17" t="b">
        <v>1</v>
      </c>
      <c r="H106" t="s">
        <v>822</v>
      </c>
    </row>
    <row r="107" spans="1:8">
      <c r="A107" t="s">
        <v>209</v>
      </c>
      <c r="B107" s="21">
        <f t="shared" si="0"/>
        <v>100107017</v>
      </c>
      <c r="C107">
        <v>1001</v>
      </c>
      <c r="D107">
        <v>7017</v>
      </c>
      <c r="E107">
        <v>300</v>
      </c>
      <c r="F107" s="17" t="b">
        <v>1</v>
      </c>
      <c r="H107" t="s">
        <v>822</v>
      </c>
    </row>
    <row r="108" spans="1:8">
      <c r="A108" t="s">
        <v>209</v>
      </c>
      <c r="B108" s="21">
        <f t="shared" si="0"/>
        <v>100107018</v>
      </c>
      <c r="C108">
        <v>1001</v>
      </c>
      <c r="D108">
        <v>7018</v>
      </c>
      <c r="E108">
        <v>300</v>
      </c>
      <c r="F108" s="17" t="b">
        <v>1</v>
      </c>
      <c r="H108" t="s">
        <v>822</v>
      </c>
    </row>
    <row r="109" spans="1:8">
      <c r="A109" t="s">
        <v>209</v>
      </c>
      <c r="B109" s="21">
        <f t="shared" si="0"/>
        <v>100107019</v>
      </c>
      <c r="C109">
        <v>1001</v>
      </c>
      <c r="D109">
        <v>7019</v>
      </c>
      <c r="E109">
        <v>300</v>
      </c>
      <c r="F109" s="17" t="b">
        <v>1</v>
      </c>
      <c r="H109" t="s">
        <v>822</v>
      </c>
    </row>
    <row r="110" spans="1:8">
      <c r="A110" t="s">
        <v>209</v>
      </c>
      <c r="B110" s="21">
        <f t="shared" si="0"/>
        <v>100108001</v>
      </c>
      <c r="C110">
        <v>1001</v>
      </c>
      <c r="D110">
        <v>8001</v>
      </c>
      <c r="E110">
        <v>300</v>
      </c>
      <c r="F110" s="17" t="b">
        <v>1</v>
      </c>
      <c r="H110" t="s">
        <v>822</v>
      </c>
    </row>
    <row r="111" spans="1:8">
      <c r="A111" t="s">
        <v>209</v>
      </c>
      <c r="B111" s="21">
        <f t="shared" si="0"/>
        <v>100108003</v>
      </c>
      <c r="C111">
        <v>1001</v>
      </c>
      <c r="D111">
        <v>8003</v>
      </c>
      <c r="E111">
        <v>300</v>
      </c>
      <c r="F111" s="17" t="b">
        <v>1</v>
      </c>
      <c r="H111" t="s">
        <v>822</v>
      </c>
    </row>
    <row r="112" spans="1:8">
      <c r="A112" t="s">
        <v>209</v>
      </c>
      <c r="B112" s="21">
        <f t="shared" si="0"/>
        <v>100108004</v>
      </c>
      <c r="C112">
        <v>1001</v>
      </c>
      <c r="D112">
        <v>8004</v>
      </c>
      <c r="E112">
        <v>300</v>
      </c>
      <c r="F112" s="17" t="b">
        <v>1</v>
      </c>
      <c r="H112" t="s">
        <v>822</v>
      </c>
    </row>
    <row r="113" spans="1:8">
      <c r="A113" t="s">
        <v>209</v>
      </c>
      <c r="B113" s="21">
        <f t="shared" si="0"/>
        <v>100108005</v>
      </c>
      <c r="C113">
        <v>1001</v>
      </c>
      <c r="D113">
        <v>8005</v>
      </c>
      <c r="E113">
        <v>300</v>
      </c>
      <c r="F113" s="17" t="b">
        <v>1</v>
      </c>
      <c r="H113" t="s">
        <v>822</v>
      </c>
    </row>
    <row r="114" spans="1:8">
      <c r="A114" t="s">
        <v>209</v>
      </c>
      <c r="B114" s="21">
        <f t="shared" si="0"/>
        <v>100108007</v>
      </c>
      <c r="C114">
        <v>1001</v>
      </c>
      <c r="D114">
        <v>8007</v>
      </c>
      <c r="E114">
        <v>200</v>
      </c>
      <c r="F114" s="17" t="b">
        <v>1</v>
      </c>
      <c r="H114" t="s">
        <v>822</v>
      </c>
    </row>
    <row r="115" spans="1:8">
      <c r="A115" t="s">
        <v>209</v>
      </c>
      <c r="B115" s="21">
        <f t="shared" si="0"/>
        <v>100108008</v>
      </c>
      <c r="C115">
        <v>1001</v>
      </c>
      <c r="D115">
        <v>8008</v>
      </c>
      <c r="E115">
        <v>200</v>
      </c>
      <c r="F115" s="17" t="b">
        <v>1</v>
      </c>
      <c r="H115" t="s">
        <v>822</v>
      </c>
    </row>
    <row r="116" spans="1:8">
      <c r="A116" t="s">
        <v>209</v>
      </c>
      <c r="B116" s="21">
        <f t="shared" si="0"/>
        <v>100108009</v>
      </c>
      <c r="C116">
        <v>1001</v>
      </c>
      <c r="D116">
        <v>8009</v>
      </c>
      <c r="E116">
        <v>300</v>
      </c>
      <c r="F116" s="17" t="b">
        <v>1</v>
      </c>
      <c r="H116" t="s">
        <v>822</v>
      </c>
    </row>
    <row r="117" spans="1:8">
      <c r="A117" t="s">
        <v>209</v>
      </c>
      <c r="B117" s="21">
        <f t="shared" si="0"/>
        <v>100108010</v>
      </c>
      <c r="C117">
        <v>1001</v>
      </c>
      <c r="D117">
        <v>8010</v>
      </c>
      <c r="E117">
        <v>300</v>
      </c>
      <c r="F117" s="17" t="b">
        <v>1</v>
      </c>
      <c r="H117" t="s">
        <v>822</v>
      </c>
    </row>
    <row r="118" spans="1:8">
      <c r="A118" t="s">
        <v>209</v>
      </c>
      <c r="B118" s="21">
        <f t="shared" si="0"/>
        <v>100108011</v>
      </c>
      <c r="C118">
        <v>1001</v>
      </c>
      <c r="D118">
        <v>8011</v>
      </c>
      <c r="E118">
        <v>50</v>
      </c>
      <c r="F118" s="17" t="b">
        <v>1</v>
      </c>
      <c r="H118" t="s">
        <v>822</v>
      </c>
    </row>
    <row r="119" spans="1:8">
      <c r="A119" t="s">
        <v>209</v>
      </c>
      <c r="B119" s="21">
        <f t="shared" si="0"/>
        <v>100108012</v>
      </c>
      <c r="C119">
        <v>1001</v>
      </c>
      <c r="D119">
        <v>8012</v>
      </c>
      <c r="E119">
        <v>300</v>
      </c>
      <c r="F119" s="17" t="b">
        <v>1</v>
      </c>
      <c r="H119" t="s">
        <v>822</v>
      </c>
    </row>
    <row r="120" spans="1:8">
      <c r="A120" t="s">
        <v>209</v>
      </c>
      <c r="B120" s="21">
        <v>100108013</v>
      </c>
      <c r="C120">
        <v>1001</v>
      </c>
      <c r="D120">
        <v>8013</v>
      </c>
      <c r="E120">
        <v>200</v>
      </c>
      <c r="F120" s="17" t="b">
        <v>1</v>
      </c>
      <c r="H120" t="s">
        <v>822</v>
      </c>
    </row>
    <row r="121" spans="1:8">
      <c r="A121" t="s">
        <v>209</v>
      </c>
      <c r="B121" s="21">
        <v>100112001</v>
      </c>
      <c r="C121">
        <v>1001</v>
      </c>
      <c r="D121">
        <v>12001</v>
      </c>
      <c r="E121">
        <v>120</v>
      </c>
      <c r="F121" s="17" t="b">
        <v>1</v>
      </c>
      <c r="H121" t="s">
        <v>822</v>
      </c>
    </row>
    <row r="122" spans="1:8">
      <c r="A122" t="s">
        <v>209</v>
      </c>
      <c r="B122" s="21">
        <v>100112002</v>
      </c>
      <c r="C122">
        <v>1001</v>
      </c>
      <c r="D122">
        <v>12002</v>
      </c>
      <c r="E122">
        <v>120</v>
      </c>
      <c r="F122" s="17" t="b">
        <v>1</v>
      </c>
      <c r="H122" t="s">
        <v>822</v>
      </c>
    </row>
    <row r="123" spans="1:8">
      <c r="A123" t="s">
        <v>209</v>
      </c>
      <c r="B123" s="21">
        <f>C123*100000+D123</f>
        <v>100201002</v>
      </c>
      <c r="C123">
        <v>1002</v>
      </c>
      <c r="D123">
        <v>1002</v>
      </c>
      <c r="E123">
        <v>900</v>
      </c>
      <c r="F123" s="17" t="b">
        <v>1</v>
      </c>
      <c r="H123" t="s">
        <v>828</v>
      </c>
    </row>
    <row r="124" spans="1:8">
      <c r="A124" t="s">
        <v>209</v>
      </c>
      <c r="B124" s="21">
        <f t="shared" ref="B124:B155" si="1">C124*100000+D124</f>
        <v>100201003</v>
      </c>
      <c r="C124">
        <v>1002</v>
      </c>
      <c r="D124">
        <v>1003</v>
      </c>
      <c r="E124">
        <v>90</v>
      </c>
      <c r="F124" s="17" t="b">
        <v>1</v>
      </c>
      <c r="H124" t="s">
        <v>828</v>
      </c>
    </row>
    <row r="125" spans="1:8">
      <c r="A125" t="s">
        <v>209</v>
      </c>
      <c r="B125" s="21">
        <f t="shared" si="1"/>
        <v>100201004</v>
      </c>
      <c r="C125">
        <v>1002</v>
      </c>
      <c r="D125">
        <v>1004</v>
      </c>
      <c r="E125">
        <v>90</v>
      </c>
      <c r="F125" s="17" t="b">
        <v>1</v>
      </c>
      <c r="H125" t="s">
        <v>828</v>
      </c>
    </row>
    <row r="126" spans="1:8">
      <c r="A126" t="s">
        <v>209</v>
      </c>
      <c r="B126" s="21">
        <f t="shared" si="1"/>
        <v>100201005</v>
      </c>
      <c r="C126">
        <v>1002</v>
      </c>
      <c r="D126">
        <v>1005</v>
      </c>
      <c r="E126" s="22">
        <v>190</v>
      </c>
      <c r="F126" s="17" t="b">
        <v>1</v>
      </c>
      <c r="H126" t="s">
        <v>828</v>
      </c>
    </row>
    <row r="127" spans="1:8">
      <c r="A127" t="s">
        <v>209</v>
      </c>
      <c r="B127" s="21">
        <f t="shared" si="1"/>
        <v>100201006</v>
      </c>
      <c r="C127">
        <v>1002</v>
      </c>
      <c r="D127">
        <v>1006</v>
      </c>
      <c r="E127" s="22">
        <v>150</v>
      </c>
      <c r="F127" s="17" t="b">
        <v>1</v>
      </c>
      <c r="H127" t="s">
        <v>828</v>
      </c>
    </row>
    <row r="128" spans="1:8">
      <c r="A128" t="s">
        <v>209</v>
      </c>
      <c r="B128" s="21">
        <f t="shared" si="1"/>
        <v>100201007</v>
      </c>
      <c r="C128">
        <v>1002</v>
      </c>
      <c r="D128">
        <v>1007</v>
      </c>
      <c r="E128">
        <v>200</v>
      </c>
      <c r="F128" s="17" t="b">
        <v>1</v>
      </c>
      <c r="H128" t="s">
        <v>828</v>
      </c>
    </row>
    <row r="129" spans="1:8">
      <c r="A129" t="s">
        <v>209</v>
      </c>
      <c r="B129" s="21">
        <f t="shared" si="1"/>
        <v>100201008</v>
      </c>
      <c r="C129">
        <v>1002</v>
      </c>
      <c r="D129">
        <v>1008</v>
      </c>
      <c r="E129">
        <v>2</v>
      </c>
      <c r="F129" s="17" t="b">
        <v>1</v>
      </c>
      <c r="H129" t="s">
        <v>828</v>
      </c>
    </row>
    <row r="130" spans="1:8">
      <c r="A130" t="s">
        <v>209</v>
      </c>
      <c r="B130" s="21">
        <f t="shared" si="1"/>
        <v>100201009</v>
      </c>
      <c r="C130">
        <v>1002</v>
      </c>
      <c r="D130">
        <v>1009</v>
      </c>
      <c r="E130">
        <v>200</v>
      </c>
      <c r="F130" s="17" t="b">
        <v>1</v>
      </c>
      <c r="H130" t="s">
        <v>828</v>
      </c>
    </row>
    <row r="131" spans="1:8">
      <c r="A131" t="s">
        <v>209</v>
      </c>
      <c r="B131" s="21">
        <f t="shared" si="1"/>
        <v>100201010</v>
      </c>
      <c r="C131">
        <v>1002</v>
      </c>
      <c r="D131">
        <v>1010</v>
      </c>
      <c r="E131">
        <v>150</v>
      </c>
      <c r="F131" s="17" t="b">
        <v>1</v>
      </c>
      <c r="H131" t="s">
        <v>828</v>
      </c>
    </row>
    <row r="132" spans="1:8">
      <c r="A132" t="s">
        <v>209</v>
      </c>
      <c r="B132" s="21">
        <f t="shared" si="1"/>
        <v>100201011</v>
      </c>
      <c r="C132">
        <v>1002</v>
      </c>
      <c r="D132">
        <v>1011</v>
      </c>
      <c r="E132">
        <v>2</v>
      </c>
      <c r="F132" s="17" t="b">
        <v>1</v>
      </c>
      <c r="H132" t="s">
        <v>828</v>
      </c>
    </row>
    <row r="133" spans="1:8">
      <c r="A133" t="s">
        <v>209</v>
      </c>
      <c r="B133" s="21">
        <f t="shared" si="1"/>
        <v>100201012</v>
      </c>
      <c r="C133">
        <v>1002</v>
      </c>
      <c r="D133">
        <v>1012</v>
      </c>
      <c r="E133">
        <v>200</v>
      </c>
      <c r="F133" s="17" t="b">
        <v>1</v>
      </c>
      <c r="H133" t="s">
        <v>828</v>
      </c>
    </row>
    <row r="134" spans="1:8">
      <c r="B134" s="21">
        <f t="shared" si="1"/>
        <v>100201013</v>
      </c>
      <c r="C134">
        <v>1002</v>
      </c>
      <c r="D134">
        <v>1013</v>
      </c>
      <c r="E134">
        <v>2</v>
      </c>
      <c r="F134" s="17" t="b">
        <v>1</v>
      </c>
      <c r="H134" t="s">
        <v>828</v>
      </c>
    </row>
    <row r="135" spans="1:8">
      <c r="B135" s="21">
        <f t="shared" si="1"/>
        <v>100201014</v>
      </c>
      <c r="C135">
        <v>1002</v>
      </c>
      <c r="D135">
        <v>1014</v>
      </c>
      <c r="E135">
        <v>200</v>
      </c>
      <c r="F135" s="17" t="b">
        <v>1</v>
      </c>
      <c r="H135" t="s">
        <v>828</v>
      </c>
    </row>
    <row r="136" spans="1:8">
      <c r="B136" s="21">
        <f t="shared" si="1"/>
        <v>100201015</v>
      </c>
      <c r="C136">
        <v>1002</v>
      </c>
      <c r="D136">
        <v>1015</v>
      </c>
      <c r="E136">
        <v>99</v>
      </c>
      <c r="F136" s="17" t="b">
        <v>1</v>
      </c>
      <c r="H136" t="s">
        <v>828</v>
      </c>
    </row>
    <row r="137" spans="1:8">
      <c r="B137" s="21">
        <f t="shared" si="1"/>
        <v>100201016</v>
      </c>
      <c r="C137">
        <v>1002</v>
      </c>
      <c r="D137">
        <v>1016</v>
      </c>
      <c r="E137">
        <v>150</v>
      </c>
      <c r="F137" s="17" t="b">
        <v>1</v>
      </c>
      <c r="H137" t="s">
        <v>828</v>
      </c>
    </row>
    <row r="138" spans="1:8">
      <c r="B138" s="21">
        <f t="shared" si="1"/>
        <v>100201017</v>
      </c>
      <c r="C138">
        <v>1002</v>
      </c>
      <c r="D138">
        <v>1017</v>
      </c>
      <c r="E138">
        <v>80</v>
      </c>
      <c r="F138" s="17" t="b">
        <v>1</v>
      </c>
      <c r="H138" t="s">
        <v>828</v>
      </c>
    </row>
    <row r="139" spans="1:8">
      <c r="B139" s="21">
        <f t="shared" si="1"/>
        <v>100201018</v>
      </c>
      <c r="C139">
        <v>1002</v>
      </c>
      <c r="D139">
        <v>1018</v>
      </c>
      <c r="E139">
        <v>80</v>
      </c>
      <c r="F139" s="17" t="b">
        <v>1</v>
      </c>
      <c r="H139" t="s">
        <v>828</v>
      </c>
    </row>
    <row r="140" spans="1:8">
      <c r="B140" s="21">
        <f t="shared" si="1"/>
        <v>100201019</v>
      </c>
      <c r="C140">
        <v>1002</v>
      </c>
      <c r="D140">
        <v>1019</v>
      </c>
      <c r="E140">
        <v>60</v>
      </c>
      <c r="F140" s="17" t="b">
        <v>1</v>
      </c>
      <c r="H140" t="s">
        <v>828</v>
      </c>
    </row>
    <row r="141" spans="1:8">
      <c r="B141" s="21">
        <f t="shared" si="1"/>
        <v>100201020</v>
      </c>
      <c r="C141">
        <v>1002</v>
      </c>
      <c r="D141">
        <v>1020</v>
      </c>
      <c r="E141">
        <v>50</v>
      </c>
      <c r="F141" s="17" t="b">
        <v>1</v>
      </c>
      <c r="H141" t="s">
        <v>828</v>
      </c>
    </row>
    <row r="142" spans="1:8">
      <c r="B142" s="21">
        <f t="shared" si="1"/>
        <v>100201021</v>
      </c>
      <c r="C142">
        <v>1002</v>
      </c>
      <c r="D142">
        <v>1021</v>
      </c>
      <c r="E142">
        <v>99</v>
      </c>
      <c r="F142" s="17" t="b">
        <v>1</v>
      </c>
      <c r="H142" t="s">
        <v>828</v>
      </c>
    </row>
    <row r="143" spans="1:8">
      <c r="B143" s="21">
        <f t="shared" si="1"/>
        <v>100201022</v>
      </c>
      <c r="C143">
        <v>1002</v>
      </c>
      <c r="D143">
        <v>1022</v>
      </c>
      <c r="E143">
        <v>80</v>
      </c>
      <c r="F143" s="17" t="b">
        <v>1</v>
      </c>
      <c r="H143" t="s">
        <v>828</v>
      </c>
    </row>
    <row r="144" spans="1:8">
      <c r="B144" s="21">
        <f t="shared" si="1"/>
        <v>100201023</v>
      </c>
      <c r="C144">
        <v>1002</v>
      </c>
      <c r="D144">
        <v>1023</v>
      </c>
      <c r="E144">
        <v>480</v>
      </c>
      <c r="F144" s="17" t="b">
        <v>1</v>
      </c>
      <c r="H144" t="s">
        <v>828</v>
      </c>
    </row>
    <row r="145" spans="1:8">
      <c r="B145" s="21">
        <f t="shared" si="1"/>
        <v>100201024</v>
      </c>
      <c r="C145">
        <v>1002</v>
      </c>
      <c r="D145">
        <v>1024</v>
      </c>
      <c r="E145">
        <v>120</v>
      </c>
      <c r="F145" s="17" t="b">
        <v>1</v>
      </c>
      <c r="H145" t="s">
        <v>828</v>
      </c>
    </row>
    <row r="146" spans="1:8">
      <c r="B146" s="21">
        <f t="shared" si="1"/>
        <v>100201025</v>
      </c>
      <c r="C146">
        <v>1002</v>
      </c>
      <c r="D146">
        <v>1025</v>
      </c>
      <c r="E146">
        <v>80</v>
      </c>
      <c r="F146" s="17" t="b">
        <v>1</v>
      </c>
      <c r="H146" t="s">
        <v>828</v>
      </c>
    </row>
    <row r="147" spans="1:8">
      <c r="B147" s="21">
        <f t="shared" si="1"/>
        <v>100201026</v>
      </c>
      <c r="C147">
        <v>1002</v>
      </c>
      <c r="D147">
        <v>1026</v>
      </c>
      <c r="E147">
        <v>120</v>
      </c>
      <c r="F147" s="17" t="b">
        <v>1</v>
      </c>
      <c r="H147" t="s">
        <v>828</v>
      </c>
    </row>
    <row r="148" spans="1:8">
      <c r="B148" s="21">
        <f t="shared" si="1"/>
        <v>100201027</v>
      </c>
      <c r="C148">
        <v>1002</v>
      </c>
      <c r="D148">
        <v>1027</v>
      </c>
      <c r="E148">
        <v>120</v>
      </c>
      <c r="F148" s="17" t="b">
        <v>1</v>
      </c>
      <c r="H148" t="s">
        <v>828</v>
      </c>
    </row>
    <row r="149" spans="1:8">
      <c r="B149" s="21">
        <f t="shared" si="1"/>
        <v>100201028</v>
      </c>
      <c r="C149">
        <v>1002</v>
      </c>
      <c r="D149">
        <v>1028</v>
      </c>
      <c r="E149">
        <v>70</v>
      </c>
      <c r="F149" s="17" t="b">
        <v>1</v>
      </c>
      <c r="H149" t="s">
        <v>828</v>
      </c>
    </row>
    <row r="150" spans="1:8">
      <c r="B150" s="21">
        <f t="shared" si="1"/>
        <v>100201029</v>
      </c>
      <c r="C150">
        <v>1002</v>
      </c>
      <c r="D150">
        <v>1029</v>
      </c>
      <c r="E150">
        <v>90</v>
      </c>
      <c r="F150" s="17" t="b">
        <v>1</v>
      </c>
      <c r="H150" t="s">
        <v>828</v>
      </c>
    </row>
    <row r="151" spans="1:8">
      <c r="B151" s="21">
        <f t="shared" si="1"/>
        <v>100201030</v>
      </c>
      <c r="C151">
        <v>1002</v>
      </c>
      <c r="D151">
        <v>1030</v>
      </c>
      <c r="E151">
        <v>200</v>
      </c>
      <c r="F151" s="17" t="b">
        <v>1</v>
      </c>
      <c r="H151" t="s">
        <v>828</v>
      </c>
    </row>
    <row r="152" spans="1:8">
      <c r="B152" s="21">
        <f t="shared" si="1"/>
        <v>100201031</v>
      </c>
      <c r="C152">
        <v>1002</v>
      </c>
      <c r="D152">
        <v>1031</v>
      </c>
      <c r="E152">
        <v>50</v>
      </c>
      <c r="F152" s="17" t="b">
        <v>1</v>
      </c>
      <c r="H152" t="s">
        <v>828</v>
      </c>
    </row>
    <row r="153" spans="1:8">
      <c r="B153" s="21">
        <f t="shared" si="1"/>
        <v>100201032</v>
      </c>
      <c r="C153">
        <v>1002</v>
      </c>
      <c r="D153">
        <v>1032</v>
      </c>
      <c r="E153">
        <v>200</v>
      </c>
      <c r="F153" s="17" t="b">
        <v>1</v>
      </c>
      <c r="H153" t="s">
        <v>828</v>
      </c>
    </row>
    <row r="154" spans="1:8">
      <c r="B154" s="21">
        <f t="shared" si="1"/>
        <v>100201033</v>
      </c>
      <c r="C154">
        <v>1002</v>
      </c>
      <c r="D154">
        <v>1033</v>
      </c>
      <c r="E154">
        <v>90</v>
      </c>
      <c r="F154" s="17" t="b">
        <v>1</v>
      </c>
      <c r="H154" t="s">
        <v>828</v>
      </c>
    </row>
    <row r="155" spans="1:8">
      <c r="B155" s="21">
        <f t="shared" si="1"/>
        <v>100201034</v>
      </c>
      <c r="C155">
        <v>1002</v>
      </c>
      <c r="D155">
        <v>1034</v>
      </c>
      <c r="E155">
        <v>49</v>
      </c>
      <c r="F155" s="17" t="b">
        <v>1</v>
      </c>
      <c r="H155" t="s">
        <v>828</v>
      </c>
    </row>
    <row r="156" spans="1:8">
      <c r="B156" s="21">
        <f t="shared" ref="B156:B187" si="2">C156*100000+D156</f>
        <v>100201035</v>
      </c>
      <c r="C156">
        <v>1002</v>
      </c>
      <c r="D156">
        <v>1035</v>
      </c>
      <c r="E156">
        <v>99</v>
      </c>
      <c r="F156" s="17" t="b">
        <v>1</v>
      </c>
      <c r="H156" t="s">
        <v>828</v>
      </c>
    </row>
    <row r="157" spans="1:8">
      <c r="B157" s="21">
        <f t="shared" si="2"/>
        <v>100201036</v>
      </c>
      <c r="C157">
        <v>1002</v>
      </c>
      <c r="D157">
        <v>1036</v>
      </c>
      <c r="E157">
        <v>49</v>
      </c>
      <c r="F157" s="17" t="b">
        <v>1</v>
      </c>
      <c r="H157" t="s">
        <v>828</v>
      </c>
    </row>
    <row r="158" spans="1:8">
      <c r="B158" s="21">
        <f t="shared" si="2"/>
        <v>100201037</v>
      </c>
      <c r="C158">
        <v>1002</v>
      </c>
      <c r="D158">
        <v>1037</v>
      </c>
      <c r="E158">
        <v>99</v>
      </c>
      <c r="F158" s="17" t="b">
        <v>1</v>
      </c>
      <c r="H158" t="s">
        <v>828</v>
      </c>
    </row>
    <row r="159" spans="1:8">
      <c r="A159" t="s">
        <v>209</v>
      </c>
      <c r="B159" s="21">
        <f t="shared" si="2"/>
        <v>100202001</v>
      </c>
      <c r="C159">
        <v>1002</v>
      </c>
      <c r="D159">
        <v>2001</v>
      </c>
      <c r="E159">
        <v>300</v>
      </c>
      <c r="F159" s="17" t="b">
        <v>1</v>
      </c>
      <c r="H159" t="s">
        <v>828</v>
      </c>
    </row>
    <row r="160" spans="1:8">
      <c r="A160" t="s">
        <v>209</v>
      </c>
      <c r="B160" s="21">
        <f t="shared" si="2"/>
        <v>100202002</v>
      </c>
      <c r="C160">
        <v>1002</v>
      </c>
      <c r="D160">
        <v>2002</v>
      </c>
      <c r="E160">
        <v>300</v>
      </c>
      <c r="F160" s="17" t="b">
        <v>1</v>
      </c>
      <c r="H160" t="s">
        <v>828</v>
      </c>
    </row>
    <row r="161" spans="1:8">
      <c r="A161" t="s">
        <v>209</v>
      </c>
      <c r="B161" s="21">
        <f t="shared" si="2"/>
        <v>100202003</v>
      </c>
      <c r="C161">
        <v>1002</v>
      </c>
      <c r="D161">
        <v>2003</v>
      </c>
      <c r="E161">
        <v>300</v>
      </c>
      <c r="F161" s="17" t="b">
        <v>1</v>
      </c>
      <c r="H161" t="s">
        <v>828</v>
      </c>
    </row>
    <row r="162" spans="1:8">
      <c r="A162" t="s">
        <v>209</v>
      </c>
      <c r="B162" s="21">
        <f t="shared" si="2"/>
        <v>100202004</v>
      </c>
      <c r="C162">
        <v>1002</v>
      </c>
      <c r="D162">
        <v>2004</v>
      </c>
      <c r="E162">
        <v>300</v>
      </c>
      <c r="F162" s="17" t="b">
        <v>1</v>
      </c>
      <c r="H162" t="s">
        <v>828</v>
      </c>
    </row>
    <row r="163" spans="1:8">
      <c r="A163" t="s">
        <v>209</v>
      </c>
      <c r="B163" s="21">
        <f t="shared" si="2"/>
        <v>100202005</v>
      </c>
      <c r="C163">
        <v>1002</v>
      </c>
      <c r="D163">
        <v>2005</v>
      </c>
      <c r="E163">
        <v>300</v>
      </c>
      <c r="F163" s="17" t="b">
        <v>1</v>
      </c>
      <c r="H163" t="s">
        <v>828</v>
      </c>
    </row>
    <row r="164" spans="1:8">
      <c r="A164" t="s">
        <v>209</v>
      </c>
      <c r="B164" s="21">
        <f t="shared" si="2"/>
        <v>100202006</v>
      </c>
      <c r="C164">
        <v>1002</v>
      </c>
      <c r="D164">
        <v>2006</v>
      </c>
      <c r="E164">
        <v>300</v>
      </c>
      <c r="F164" s="17" t="b">
        <v>1</v>
      </c>
      <c r="H164" t="s">
        <v>828</v>
      </c>
    </row>
    <row r="165" spans="1:8">
      <c r="A165" t="s">
        <v>209</v>
      </c>
      <c r="B165" s="21">
        <f t="shared" si="2"/>
        <v>100202007</v>
      </c>
      <c r="C165">
        <v>1002</v>
      </c>
      <c r="D165">
        <v>2007</v>
      </c>
      <c r="E165">
        <v>300</v>
      </c>
      <c r="F165" s="17" t="b">
        <v>1</v>
      </c>
      <c r="H165" t="s">
        <v>828</v>
      </c>
    </row>
    <row r="166" spans="1:8">
      <c r="A166" t="s">
        <v>209</v>
      </c>
      <c r="B166" s="21">
        <f t="shared" si="2"/>
        <v>100202008</v>
      </c>
      <c r="C166">
        <v>1002</v>
      </c>
      <c r="D166">
        <v>2008</v>
      </c>
      <c r="E166">
        <v>300</v>
      </c>
      <c r="F166" s="17" t="b">
        <v>1</v>
      </c>
      <c r="H166" t="s">
        <v>828</v>
      </c>
    </row>
    <row r="167" spans="1:8">
      <c r="A167" t="s">
        <v>209</v>
      </c>
      <c r="B167" s="21">
        <f t="shared" si="2"/>
        <v>100202009</v>
      </c>
      <c r="C167">
        <v>1002</v>
      </c>
      <c r="D167">
        <v>2009</v>
      </c>
      <c r="E167">
        <v>300</v>
      </c>
      <c r="F167" s="17" t="b">
        <v>1</v>
      </c>
      <c r="H167" t="s">
        <v>828</v>
      </c>
    </row>
    <row r="168" spans="1:8">
      <c r="A168" t="s">
        <v>209</v>
      </c>
      <c r="B168" s="21">
        <f t="shared" si="2"/>
        <v>100202010</v>
      </c>
      <c r="C168">
        <v>1002</v>
      </c>
      <c r="D168">
        <v>2010</v>
      </c>
      <c r="E168">
        <v>300</v>
      </c>
      <c r="F168" s="17" t="b">
        <v>1</v>
      </c>
      <c r="H168" t="s">
        <v>828</v>
      </c>
    </row>
    <row r="169" spans="1:8">
      <c r="A169" t="s">
        <v>209</v>
      </c>
      <c r="B169" s="21">
        <f t="shared" si="2"/>
        <v>100202011</v>
      </c>
      <c r="C169">
        <v>1002</v>
      </c>
      <c r="D169">
        <v>2011</v>
      </c>
      <c r="E169">
        <v>300</v>
      </c>
      <c r="F169" s="17" t="b">
        <v>1</v>
      </c>
      <c r="H169" t="s">
        <v>828</v>
      </c>
    </row>
    <row r="170" spans="1:8">
      <c r="A170" t="s">
        <v>209</v>
      </c>
      <c r="B170" s="21">
        <f t="shared" si="2"/>
        <v>100202012</v>
      </c>
      <c r="C170">
        <v>1002</v>
      </c>
      <c r="D170">
        <v>2012</v>
      </c>
      <c r="E170">
        <v>300</v>
      </c>
      <c r="F170" s="17" t="b">
        <v>1</v>
      </c>
      <c r="H170" t="s">
        <v>828</v>
      </c>
    </row>
    <row r="171" spans="1:8">
      <c r="A171" t="s">
        <v>209</v>
      </c>
      <c r="B171" s="21">
        <f t="shared" si="2"/>
        <v>100202013</v>
      </c>
      <c r="C171">
        <v>1002</v>
      </c>
      <c r="D171">
        <v>2013</v>
      </c>
      <c r="E171">
        <v>100</v>
      </c>
      <c r="F171" s="17" t="b">
        <v>1</v>
      </c>
      <c r="H171" t="s">
        <v>828</v>
      </c>
    </row>
    <row r="172" spans="1:8">
      <c r="A172" t="s">
        <v>209</v>
      </c>
      <c r="B172" s="21">
        <f t="shared" si="2"/>
        <v>100202014</v>
      </c>
      <c r="C172">
        <v>1002</v>
      </c>
      <c r="D172">
        <v>2014</v>
      </c>
      <c r="E172">
        <v>100</v>
      </c>
      <c r="F172" s="17" t="b">
        <v>1</v>
      </c>
      <c r="H172" t="s">
        <v>828</v>
      </c>
    </row>
    <row r="173" spans="1:8">
      <c r="A173" t="s">
        <v>209</v>
      </c>
      <c r="B173" s="21">
        <f t="shared" si="2"/>
        <v>100202015</v>
      </c>
      <c r="C173">
        <v>1002</v>
      </c>
      <c r="D173">
        <v>2015</v>
      </c>
      <c r="E173">
        <v>100</v>
      </c>
      <c r="F173" s="17" t="b">
        <v>1</v>
      </c>
      <c r="H173" t="s">
        <v>828</v>
      </c>
    </row>
    <row r="174" spans="1:8">
      <c r="A174" t="s">
        <v>209</v>
      </c>
      <c r="B174" s="21">
        <f t="shared" si="2"/>
        <v>100202016</v>
      </c>
      <c r="C174">
        <v>1002</v>
      </c>
      <c r="D174">
        <v>2016</v>
      </c>
      <c r="E174" s="22">
        <v>100</v>
      </c>
      <c r="F174" s="17" t="b">
        <v>1</v>
      </c>
      <c r="H174" t="s">
        <v>828</v>
      </c>
    </row>
    <row r="175" spans="1:8">
      <c r="A175" t="s">
        <v>209</v>
      </c>
      <c r="B175" s="21">
        <f t="shared" si="2"/>
        <v>100202017</v>
      </c>
      <c r="C175">
        <v>1002</v>
      </c>
      <c r="D175">
        <v>2017</v>
      </c>
      <c r="E175" s="22">
        <v>100</v>
      </c>
      <c r="F175" s="17" t="b">
        <v>1</v>
      </c>
      <c r="H175" t="s">
        <v>828</v>
      </c>
    </row>
    <row r="176" spans="1:8">
      <c r="A176" t="s">
        <v>209</v>
      </c>
      <c r="B176" s="21">
        <f t="shared" si="2"/>
        <v>100202018</v>
      </c>
      <c r="C176">
        <v>1002</v>
      </c>
      <c r="D176">
        <v>2018</v>
      </c>
      <c r="E176">
        <v>100</v>
      </c>
      <c r="F176" s="17" t="b">
        <v>1</v>
      </c>
      <c r="H176" t="s">
        <v>828</v>
      </c>
    </row>
    <row r="177" spans="1:8">
      <c r="A177" t="s">
        <v>209</v>
      </c>
      <c r="B177" s="21">
        <f t="shared" si="2"/>
        <v>100202019</v>
      </c>
      <c r="C177">
        <v>1002</v>
      </c>
      <c r="D177">
        <v>2019</v>
      </c>
      <c r="E177">
        <v>100</v>
      </c>
      <c r="F177" s="17" t="b">
        <v>1</v>
      </c>
      <c r="H177" t="s">
        <v>828</v>
      </c>
    </row>
    <row r="178" spans="1:8">
      <c r="A178" t="s">
        <v>209</v>
      </c>
      <c r="B178" s="21">
        <f t="shared" si="2"/>
        <v>100202020</v>
      </c>
      <c r="C178">
        <v>1002</v>
      </c>
      <c r="D178">
        <v>2020</v>
      </c>
      <c r="E178">
        <v>100</v>
      </c>
      <c r="F178" s="17" t="b">
        <v>1</v>
      </c>
      <c r="H178" t="s">
        <v>828</v>
      </c>
    </row>
    <row r="179" spans="1:8">
      <c r="A179" t="s">
        <v>209</v>
      </c>
      <c r="B179" s="21">
        <f t="shared" si="2"/>
        <v>100202021</v>
      </c>
      <c r="C179">
        <v>1002</v>
      </c>
      <c r="D179">
        <v>2021</v>
      </c>
      <c r="E179">
        <v>100</v>
      </c>
      <c r="F179" s="17" t="b">
        <v>1</v>
      </c>
      <c r="H179" t="s">
        <v>828</v>
      </c>
    </row>
    <row r="180" spans="1:8">
      <c r="A180" t="s">
        <v>209</v>
      </c>
      <c r="B180" s="21">
        <f t="shared" si="2"/>
        <v>100202022</v>
      </c>
      <c r="C180">
        <v>1002</v>
      </c>
      <c r="D180">
        <v>2022</v>
      </c>
      <c r="E180">
        <v>100</v>
      </c>
      <c r="F180" s="17" t="b">
        <v>1</v>
      </c>
      <c r="H180" t="s">
        <v>828</v>
      </c>
    </row>
    <row r="181" spans="1:8">
      <c r="A181" t="s">
        <v>209</v>
      </c>
      <c r="B181" s="21">
        <f t="shared" si="2"/>
        <v>100202023</v>
      </c>
      <c r="C181">
        <v>1002</v>
      </c>
      <c r="D181">
        <v>2023</v>
      </c>
      <c r="E181">
        <v>100</v>
      </c>
      <c r="F181" s="17" t="b">
        <v>1</v>
      </c>
      <c r="H181" t="s">
        <v>828</v>
      </c>
    </row>
    <row r="182" spans="1:8">
      <c r="A182" t="s">
        <v>209</v>
      </c>
      <c r="B182" s="21">
        <f t="shared" si="2"/>
        <v>100202024</v>
      </c>
      <c r="C182">
        <v>1002</v>
      </c>
      <c r="D182">
        <v>2024</v>
      </c>
      <c r="E182">
        <v>100</v>
      </c>
      <c r="F182" s="17" t="b">
        <v>1</v>
      </c>
      <c r="H182" t="s">
        <v>828</v>
      </c>
    </row>
    <row r="183" spans="1:8">
      <c r="A183" t="s">
        <v>209</v>
      </c>
      <c r="B183" s="21">
        <f t="shared" si="2"/>
        <v>100202025</v>
      </c>
      <c r="C183">
        <v>1002</v>
      </c>
      <c r="D183">
        <v>2025</v>
      </c>
      <c r="E183">
        <v>100</v>
      </c>
      <c r="F183" s="17" t="b">
        <v>1</v>
      </c>
      <c r="H183" t="s">
        <v>828</v>
      </c>
    </row>
    <row r="184" spans="1:8">
      <c r="A184" t="s">
        <v>209</v>
      </c>
      <c r="B184" s="21">
        <f t="shared" si="2"/>
        <v>100202026</v>
      </c>
      <c r="C184">
        <v>1002</v>
      </c>
      <c r="D184">
        <v>2026</v>
      </c>
      <c r="E184">
        <v>100</v>
      </c>
      <c r="F184" s="17" t="b">
        <v>1</v>
      </c>
      <c r="H184" t="s">
        <v>828</v>
      </c>
    </row>
    <row r="185" spans="1:8">
      <c r="A185" t="s">
        <v>209</v>
      </c>
      <c r="B185" s="21">
        <f t="shared" si="2"/>
        <v>100202027</v>
      </c>
      <c r="C185">
        <v>1002</v>
      </c>
      <c r="D185">
        <v>2027</v>
      </c>
      <c r="E185">
        <v>100</v>
      </c>
      <c r="F185" s="17" t="b">
        <v>1</v>
      </c>
      <c r="H185" t="s">
        <v>828</v>
      </c>
    </row>
    <row r="186" spans="1:8">
      <c r="A186" t="s">
        <v>209</v>
      </c>
      <c r="B186" s="21">
        <f t="shared" si="2"/>
        <v>100202028</v>
      </c>
      <c r="C186">
        <v>1002</v>
      </c>
      <c r="D186">
        <v>2028</v>
      </c>
      <c r="E186">
        <v>100</v>
      </c>
      <c r="F186" s="17" t="b">
        <v>1</v>
      </c>
      <c r="H186" t="s">
        <v>828</v>
      </c>
    </row>
    <row r="187" spans="1:8">
      <c r="A187" t="s">
        <v>209</v>
      </c>
      <c r="B187" s="21">
        <f t="shared" si="2"/>
        <v>100202029</v>
      </c>
      <c r="C187">
        <v>1002</v>
      </c>
      <c r="D187">
        <v>2029</v>
      </c>
      <c r="E187">
        <v>100</v>
      </c>
      <c r="F187" s="17" t="b">
        <v>1</v>
      </c>
      <c r="H187" t="s">
        <v>828</v>
      </c>
    </row>
    <row r="188" spans="1:8">
      <c r="A188" t="s">
        <v>209</v>
      </c>
      <c r="B188" s="21">
        <f t="shared" ref="B188:B219" si="3">C188*100000+D188</f>
        <v>100202030</v>
      </c>
      <c r="C188">
        <v>1002</v>
      </c>
      <c r="D188">
        <v>2030</v>
      </c>
      <c r="E188">
        <v>100</v>
      </c>
      <c r="F188" s="17" t="b">
        <v>1</v>
      </c>
      <c r="H188" t="s">
        <v>828</v>
      </c>
    </row>
    <row r="189" spans="1:8">
      <c r="A189" t="s">
        <v>209</v>
      </c>
      <c r="B189" s="21">
        <f t="shared" si="3"/>
        <v>100202031</v>
      </c>
      <c r="C189">
        <v>1002</v>
      </c>
      <c r="D189">
        <v>2031</v>
      </c>
      <c r="E189">
        <v>100</v>
      </c>
      <c r="F189" s="17" t="b">
        <v>1</v>
      </c>
      <c r="H189" t="s">
        <v>828</v>
      </c>
    </row>
    <row r="190" spans="1:8">
      <c r="A190" t="s">
        <v>209</v>
      </c>
      <c r="B190" s="21">
        <f t="shared" si="3"/>
        <v>100202032</v>
      </c>
      <c r="C190">
        <v>1002</v>
      </c>
      <c r="D190">
        <v>2032</v>
      </c>
      <c r="E190">
        <v>100</v>
      </c>
      <c r="F190" s="17" t="b">
        <v>1</v>
      </c>
      <c r="H190" t="s">
        <v>828</v>
      </c>
    </row>
    <row r="191" spans="1:8">
      <c r="A191" t="s">
        <v>209</v>
      </c>
      <c r="B191" s="21">
        <f t="shared" si="3"/>
        <v>100202033</v>
      </c>
      <c r="C191">
        <v>1002</v>
      </c>
      <c r="D191">
        <v>2033</v>
      </c>
      <c r="E191">
        <v>100</v>
      </c>
      <c r="F191" s="17" t="b">
        <v>1</v>
      </c>
      <c r="H191" t="s">
        <v>828</v>
      </c>
    </row>
    <row r="192" spans="1:8">
      <c r="A192" t="s">
        <v>209</v>
      </c>
      <c r="B192" s="21">
        <f t="shared" si="3"/>
        <v>100205001</v>
      </c>
      <c r="C192">
        <v>1002</v>
      </c>
      <c r="D192">
        <v>5001</v>
      </c>
      <c r="E192">
        <v>100</v>
      </c>
      <c r="F192" s="17" t="b">
        <v>1</v>
      </c>
      <c r="H192" t="s">
        <v>828</v>
      </c>
    </row>
    <row r="193" spans="1:8">
      <c r="A193" t="s">
        <v>209</v>
      </c>
      <c r="B193" s="21">
        <f t="shared" si="3"/>
        <v>100205002</v>
      </c>
      <c r="C193">
        <v>1002</v>
      </c>
      <c r="D193">
        <v>5002</v>
      </c>
      <c r="E193">
        <v>100</v>
      </c>
      <c r="F193" s="17" t="b">
        <v>1</v>
      </c>
      <c r="H193" t="s">
        <v>828</v>
      </c>
    </row>
    <row r="194" spans="1:8">
      <c r="A194" t="s">
        <v>209</v>
      </c>
      <c r="B194" s="21">
        <f t="shared" si="3"/>
        <v>100205003</v>
      </c>
      <c r="C194">
        <v>1002</v>
      </c>
      <c r="D194">
        <v>5003</v>
      </c>
      <c r="E194">
        <v>100</v>
      </c>
      <c r="F194" s="17" t="b">
        <v>1</v>
      </c>
      <c r="H194" t="s">
        <v>828</v>
      </c>
    </row>
    <row r="195" spans="1:8">
      <c r="A195" t="s">
        <v>209</v>
      </c>
      <c r="B195" s="21">
        <f t="shared" si="3"/>
        <v>100205004</v>
      </c>
      <c r="C195">
        <v>1002</v>
      </c>
      <c r="D195">
        <v>5004</v>
      </c>
      <c r="E195">
        <v>100</v>
      </c>
      <c r="F195" s="17" t="b">
        <v>1</v>
      </c>
      <c r="H195" t="s">
        <v>828</v>
      </c>
    </row>
    <row r="196" spans="1:8">
      <c r="A196" t="s">
        <v>209</v>
      </c>
      <c r="B196" s="21">
        <f t="shared" si="3"/>
        <v>100205005</v>
      </c>
      <c r="C196">
        <v>1002</v>
      </c>
      <c r="D196">
        <v>5005</v>
      </c>
      <c r="E196">
        <v>100</v>
      </c>
      <c r="F196" s="17" t="b">
        <v>1</v>
      </c>
      <c r="H196" t="s">
        <v>828</v>
      </c>
    </row>
    <row r="197" spans="1:8">
      <c r="A197" t="s">
        <v>209</v>
      </c>
      <c r="B197" s="21">
        <f t="shared" si="3"/>
        <v>100205006</v>
      </c>
      <c r="C197">
        <v>1002</v>
      </c>
      <c r="D197">
        <v>5006</v>
      </c>
      <c r="E197">
        <v>100</v>
      </c>
      <c r="F197" s="17" t="b">
        <v>1</v>
      </c>
      <c r="H197" t="s">
        <v>828</v>
      </c>
    </row>
    <row r="198" spans="1:8">
      <c r="A198" t="s">
        <v>209</v>
      </c>
      <c r="B198" s="21">
        <f t="shared" si="3"/>
        <v>100205007</v>
      </c>
      <c r="C198">
        <v>1002</v>
      </c>
      <c r="D198">
        <v>5007</v>
      </c>
      <c r="E198">
        <v>100</v>
      </c>
      <c r="F198" s="17" t="b">
        <v>1</v>
      </c>
      <c r="H198" t="s">
        <v>828</v>
      </c>
    </row>
    <row r="199" spans="1:8">
      <c r="A199" t="s">
        <v>209</v>
      </c>
      <c r="B199" s="21">
        <f t="shared" si="3"/>
        <v>100205008</v>
      </c>
      <c r="C199">
        <v>1002</v>
      </c>
      <c r="D199">
        <v>5008</v>
      </c>
      <c r="E199">
        <v>100</v>
      </c>
      <c r="F199" s="17" t="b">
        <v>1</v>
      </c>
      <c r="H199" t="s">
        <v>828</v>
      </c>
    </row>
    <row r="200" spans="1:8">
      <c r="A200" t="s">
        <v>209</v>
      </c>
      <c r="B200" s="21">
        <f t="shared" si="3"/>
        <v>100206002</v>
      </c>
      <c r="C200">
        <v>1002</v>
      </c>
      <c r="D200">
        <v>6002</v>
      </c>
      <c r="E200">
        <v>200</v>
      </c>
      <c r="F200" s="17" t="b">
        <v>1</v>
      </c>
      <c r="H200" t="s">
        <v>828</v>
      </c>
    </row>
    <row r="201" spans="1:8">
      <c r="A201" t="s">
        <v>209</v>
      </c>
      <c r="B201" s="21">
        <f t="shared" si="3"/>
        <v>100206003</v>
      </c>
      <c r="C201">
        <v>1002</v>
      </c>
      <c r="D201">
        <v>6003</v>
      </c>
      <c r="E201">
        <v>200</v>
      </c>
      <c r="F201" s="17" t="b">
        <v>1</v>
      </c>
      <c r="H201" t="s">
        <v>828</v>
      </c>
    </row>
    <row r="202" spans="1:8">
      <c r="A202" t="s">
        <v>209</v>
      </c>
      <c r="B202" s="21">
        <f t="shared" si="3"/>
        <v>100206004</v>
      </c>
      <c r="C202">
        <v>1002</v>
      </c>
      <c r="D202">
        <v>6004</v>
      </c>
      <c r="E202">
        <v>200</v>
      </c>
      <c r="F202" s="17" t="b">
        <v>1</v>
      </c>
      <c r="H202" t="s">
        <v>828</v>
      </c>
    </row>
    <row r="203" spans="1:8">
      <c r="A203" t="s">
        <v>209</v>
      </c>
      <c r="B203" s="21">
        <f t="shared" si="3"/>
        <v>100206005</v>
      </c>
      <c r="C203">
        <v>1002</v>
      </c>
      <c r="D203">
        <v>6005</v>
      </c>
      <c r="E203">
        <v>200</v>
      </c>
      <c r="F203" s="17" t="b">
        <v>1</v>
      </c>
      <c r="H203" t="s">
        <v>828</v>
      </c>
    </row>
    <row r="204" spans="1:8">
      <c r="A204" t="s">
        <v>209</v>
      </c>
      <c r="B204" s="21">
        <f t="shared" si="3"/>
        <v>100206006</v>
      </c>
      <c r="C204">
        <v>1002</v>
      </c>
      <c r="D204">
        <v>6006</v>
      </c>
      <c r="E204">
        <v>200</v>
      </c>
      <c r="F204" s="17" t="b">
        <v>1</v>
      </c>
      <c r="H204" t="s">
        <v>828</v>
      </c>
    </row>
    <row r="205" spans="1:8">
      <c r="A205" t="s">
        <v>209</v>
      </c>
      <c r="B205" s="21">
        <f t="shared" si="3"/>
        <v>100206007</v>
      </c>
      <c r="C205">
        <v>1002</v>
      </c>
      <c r="D205">
        <v>6007</v>
      </c>
      <c r="E205">
        <v>200</v>
      </c>
      <c r="F205" s="17" t="b">
        <v>1</v>
      </c>
      <c r="H205" t="s">
        <v>828</v>
      </c>
    </row>
    <row r="206" spans="1:8">
      <c r="A206" t="s">
        <v>209</v>
      </c>
      <c r="B206" s="21">
        <f t="shared" si="3"/>
        <v>100206008</v>
      </c>
      <c r="C206">
        <v>1002</v>
      </c>
      <c r="D206">
        <v>6008</v>
      </c>
      <c r="E206">
        <v>300</v>
      </c>
      <c r="F206" s="17" t="b">
        <v>1</v>
      </c>
      <c r="H206" t="s">
        <v>828</v>
      </c>
    </row>
    <row r="207" spans="1:8">
      <c r="A207" t="s">
        <v>209</v>
      </c>
      <c r="B207" s="21">
        <f t="shared" si="3"/>
        <v>100206009</v>
      </c>
      <c r="C207">
        <v>1002</v>
      </c>
      <c r="D207">
        <v>6009</v>
      </c>
      <c r="E207">
        <v>300</v>
      </c>
      <c r="F207" s="17" t="b">
        <v>1</v>
      </c>
      <c r="H207" t="s">
        <v>828</v>
      </c>
    </row>
    <row r="208" spans="1:8">
      <c r="A208" t="s">
        <v>209</v>
      </c>
      <c r="B208" s="21">
        <f t="shared" si="3"/>
        <v>100206010</v>
      </c>
      <c r="C208">
        <v>1002</v>
      </c>
      <c r="D208">
        <v>6010</v>
      </c>
      <c r="E208">
        <v>300</v>
      </c>
      <c r="F208" s="17" t="b">
        <v>1</v>
      </c>
      <c r="H208" t="s">
        <v>828</v>
      </c>
    </row>
    <row r="209" spans="1:8">
      <c r="A209" t="s">
        <v>209</v>
      </c>
      <c r="B209" s="21">
        <f t="shared" si="3"/>
        <v>100206011</v>
      </c>
      <c r="C209">
        <v>1002</v>
      </c>
      <c r="D209">
        <v>6011</v>
      </c>
      <c r="E209">
        <v>300</v>
      </c>
      <c r="F209" s="17" t="b">
        <v>1</v>
      </c>
      <c r="H209" t="s">
        <v>828</v>
      </c>
    </row>
    <row r="210" spans="1:8">
      <c r="A210" t="s">
        <v>209</v>
      </c>
      <c r="B210" s="21">
        <f t="shared" si="3"/>
        <v>100207001</v>
      </c>
      <c r="C210">
        <v>1002</v>
      </c>
      <c r="D210">
        <v>7001</v>
      </c>
      <c r="E210">
        <v>300</v>
      </c>
      <c r="F210" s="17" t="b">
        <v>1</v>
      </c>
      <c r="H210" t="s">
        <v>828</v>
      </c>
    </row>
    <row r="211" spans="1:8">
      <c r="A211" t="s">
        <v>209</v>
      </c>
      <c r="B211" s="21">
        <f t="shared" si="3"/>
        <v>100207002</v>
      </c>
      <c r="C211">
        <v>1002</v>
      </c>
      <c r="D211">
        <v>7002</v>
      </c>
      <c r="E211">
        <v>300</v>
      </c>
      <c r="F211" s="17" t="b">
        <v>1</v>
      </c>
      <c r="H211" t="s">
        <v>828</v>
      </c>
    </row>
    <row r="212" spans="1:8">
      <c r="A212" t="s">
        <v>209</v>
      </c>
      <c r="B212" s="21">
        <f t="shared" si="3"/>
        <v>100207003</v>
      </c>
      <c r="C212">
        <v>1002</v>
      </c>
      <c r="D212">
        <v>7003</v>
      </c>
      <c r="E212">
        <v>100</v>
      </c>
      <c r="F212" s="17" t="b">
        <v>1</v>
      </c>
      <c r="H212" t="s">
        <v>828</v>
      </c>
    </row>
    <row r="213" spans="1:8">
      <c r="A213" t="s">
        <v>209</v>
      </c>
      <c r="B213" s="21">
        <f t="shared" si="3"/>
        <v>100207005</v>
      </c>
      <c r="C213">
        <v>1002</v>
      </c>
      <c r="D213">
        <v>7005</v>
      </c>
      <c r="E213">
        <v>100</v>
      </c>
      <c r="F213" s="17" t="b">
        <v>1</v>
      </c>
      <c r="H213" t="s">
        <v>828</v>
      </c>
    </row>
    <row r="214" spans="1:8">
      <c r="A214" t="s">
        <v>209</v>
      </c>
      <c r="B214" s="21">
        <f t="shared" si="3"/>
        <v>100207006</v>
      </c>
      <c r="C214">
        <v>1002</v>
      </c>
      <c r="D214">
        <v>7006</v>
      </c>
      <c r="E214">
        <v>300</v>
      </c>
      <c r="F214" s="17" t="b">
        <v>1</v>
      </c>
      <c r="H214" t="s">
        <v>828</v>
      </c>
    </row>
    <row r="215" spans="1:8">
      <c r="A215" t="s">
        <v>209</v>
      </c>
      <c r="B215" s="21">
        <f t="shared" si="3"/>
        <v>100207007</v>
      </c>
      <c r="C215">
        <v>1002</v>
      </c>
      <c r="D215">
        <v>7007</v>
      </c>
      <c r="E215">
        <v>100</v>
      </c>
      <c r="F215" s="17" t="b">
        <v>1</v>
      </c>
      <c r="H215" t="s">
        <v>828</v>
      </c>
    </row>
    <row r="216" spans="1:8">
      <c r="A216" t="s">
        <v>209</v>
      </c>
      <c r="B216" s="21">
        <f t="shared" si="3"/>
        <v>100207008</v>
      </c>
      <c r="C216">
        <v>1002</v>
      </c>
      <c r="D216">
        <v>7008</v>
      </c>
      <c r="E216">
        <v>300</v>
      </c>
      <c r="F216" s="17" t="b">
        <v>1</v>
      </c>
      <c r="H216" t="s">
        <v>828</v>
      </c>
    </row>
    <row r="217" spans="1:8">
      <c r="A217" t="s">
        <v>209</v>
      </c>
      <c r="B217" s="21">
        <f t="shared" si="3"/>
        <v>100207009</v>
      </c>
      <c r="C217">
        <v>1002</v>
      </c>
      <c r="D217">
        <v>7009</v>
      </c>
      <c r="E217">
        <v>300</v>
      </c>
      <c r="F217" s="17" t="b">
        <v>1</v>
      </c>
      <c r="H217" t="s">
        <v>828</v>
      </c>
    </row>
    <row r="218" spans="1:8">
      <c r="A218" t="s">
        <v>209</v>
      </c>
      <c r="B218" s="21">
        <f t="shared" si="3"/>
        <v>100207010</v>
      </c>
      <c r="C218">
        <v>1002</v>
      </c>
      <c r="D218">
        <v>7010</v>
      </c>
      <c r="E218">
        <v>200</v>
      </c>
      <c r="F218" s="17" t="b">
        <v>1</v>
      </c>
      <c r="H218" t="s">
        <v>828</v>
      </c>
    </row>
    <row r="219" spans="1:8">
      <c r="A219" t="s">
        <v>209</v>
      </c>
      <c r="B219" s="21">
        <f t="shared" si="3"/>
        <v>100207011</v>
      </c>
      <c r="C219">
        <v>1002</v>
      </c>
      <c r="D219">
        <v>7011</v>
      </c>
      <c r="E219">
        <v>300</v>
      </c>
      <c r="F219" s="17" t="b">
        <v>1</v>
      </c>
      <c r="H219" t="s">
        <v>828</v>
      </c>
    </row>
    <row r="220" spans="1:8">
      <c r="A220" t="s">
        <v>209</v>
      </c>
      <c r="B220" s="21">
        <f t="shared" ref="B220:B257" si="4">C220*100000+D220</f>
        <v>100207012</v>
      </c>
      <c r="C220">
        <v>1002</v>
      </c>
      <c r="D220">
        <v>7012</v>
      </c>
      <c r="E220">
        <v>300</v>
      </c>
      <c r="F220" s="17" t="b">
        <v>1</v>
      </c>
      <c r="H220" t="s">
        <v>828</v>
      </c>
    </row>
    <row r="221" spans="1:8">
      <c r="A221" t="s">
        <v>209</v>
      </c>
      <c r="B221" s="21">
        <f t="shared" si="4"/>
        <v>100207013</v>
      </c>
      <c r="C221">
        <v>1002</v>
      </c>
      <c r="D221">
        <v>7013</v>
      </c>
      <c r="E221">
        <v>300</v>
      </c>
      <c r="F221" s="17" t="b">
        <v>1</v>
      </c>
      <c r="H221" t="s">
        <v>828</v>
      </c>
    </row>
    <row r="222" spans="1:8">
      <c r="A222" t="s">
        <v>209</v>
      </c>
      <c r="B222" s="21">
        <f t="shared" si="4"/>
        <v>100207014</v>
      </c>
      <c r="C222">
        <v>1002</v>
      </c>
      <c r="D222">
        <v>7014</v>
      </c>
      <c r="E222">
        <v>300</v>
      </c>
      <c r="F222" s="17" t="b">
        <v>1</v>
      </c>
      <c r="H222" t="s">
        <v>828</v>
      </c>
    </row>
    <row r="223" spans="1:8">
      <c r="A223" t="s">
        <v>209</v>
      </c>
      <c r="B223" s="21">
        <f t="shared" si="4"/>
        <v>100207015</v>
      </c>
      <c r="C223">
        <v>1002</v>
      </c>
      <c r="D223">
        <v>7015</v>
      </c>
      <c r="E223">
        <v>100</v>
      </c>
      <c r="F223" s="17" t="b">
        <v>1</v>
      </c>
      <c r="H223" t="s">
        <v>828</v>
      </c>
    </row>
    <row r="224" spans="1:8">
      <c r="A224" t="s">
        <v>209</v>
      </c>
      <c r="B224" s="21">
        <f t="shared" si="4"/>
        <v>100207016</v>
      </c>
      <c r="C224">
        <v>1002</v>
      </c>
      <c r="D224">
        <v>7016</v>
      </c>
      <c r="E224">
        <v>300</v>
      </c>
      <c r="F224" s="17" t="b">
        <v>1</v>
      </c>
      <c r="H224" t="s">
        <v>828</v>
      </c>
    </row>
    <row r="225" spans="1:8">
      <c r="A225" t="s">
        <v>209</v>
      </c>
      <c r="B225" s="21">
        <f t="shared" si="4"/>
        <v>100207017</v>
      </c>
      <c r="C225">
        <v>1002</v>
      </c>
      <c r="D225">
        <v>7017</v>
      </c>
      <c r="E225">
        <v>300</v>
      </c>
      <c r="F225" s="17" t="b">
        <v>1</v>
      </c>
      <c r="H225" t="s">
        <v>828</v>
      </c>
    </row>
    <row r="226" spans="1:8">
      <c r="A226" t="s">
        <v>209</v>
      </c>
      <c r="B226" s="21">
        <f t="shared" si="4"/>
        <v>100207018</v>
      </c>
      <c r="C226">
        <v>1002</v>
      </c>
      <c r="D226">
        <v>7018</v>
      </c>
      <c r="E226">
        <v>300</v>
      </c>
      <c r="F226" s="17" t="b">
        <v>1</v>
      </c>
      <c r="H226" t="s">
        <v>828</v>
      </c>
    </row>
    <row r="227" spans="1:8">
      <c r="A227" t="s">
        <v>209</v>
      </c>
      <c r="B227" s="21">
        <f t="shared" si="4"/>
        <v>100207019</v>
      </c>
      <c r="C227">
        <v>1002</v>
      </c>
      <c r="D227">
        <v>7019</v>
      </c>
      <c r="E227">
        <v>300</v>
      </c>
      <c r="F227" s="17" t="b">
        <v>1</v>
      </c>
      <c r="H227" t="s">
        <v>828</v>
      </c>
    </row>
    <row r="228" spans="1:8">
      <c r="A228" t="s">
        <v>209</v>
      </c>
      <c r="B228" s="21">
        <f t="shared" si="4"/>
        <v>100208001</v>
      </c>
      <c r="C228">
        <v>1002</v>
      </c>
      <c r="D228">
        <v>8001</v>
      </c>
      <c r="E228">
        <v>300</v>
      </c>
      <c r="F228" s="17" t="b">
        <v>1</v>
      </c>
      <c r="H228" t="s">
        <v>828</v>
      </c>
    </row>
    <row r="229" spans="1:8">
      <c r="A229" t="s">
        <v>209</v>
      </c>
      <c r="B229" s="21">
        <f t="shared" si="4"/>
        <v>100208003</v>
      </c>
      <c r="C229">
        <v>1002</v>
      </c>
      <c r="D229">
        <v>8003</v>
      </c>
      <c r="E229">
        <v>300</v>
      </c>
      <c r="F229" s="17" t="b">
        <v>1</v>
      </c>
      <c r="H229" t="s">
        <v>828</v>
      </c>
    </row>
    <row r="230" spans="1:8">
      <c r="A230" t="s">
        <v>209</v>
      </c>
      <c r="B230" s="21">
        <f t="shared" si="4"/>
        <v>100208004</v>
      </c>
      <c r="C230">
        <v>1002</v>
      </c>
      <c r="D230">
        <v>8004</v>
      </c>
      <c r="E230">
        <v>300</v>
      </c>
      <c r="F230" s="17" t="b">
        <v>1</v>
      </c>
      <c r="H230" t="s">
        <v>828</v>
      </c>
    </row>
    <row r="231" spans="1:8">
      <c r="A231" t="s">
        <v>209</v>
      </c>
      <c r="B231" s="21">
        <f t="shared" si="4"/>
        <v>100208005</v>
      </c>
      <c r="C231">
        <v>1002</v>
      </c>
      <c r="D231">
        <v>8005</v>
      </c>
      <c r="E231">
        <v>300</v>
      </c>
      <c r="F231" s="17" t="b">
        <v>1</v>
      </c>
      <c r="H231" t="s">
        <v>828</v>
      </c>
    </row>
    <row r="232" spans="1:8">
      <c r="A232" t="s">
        <v>209</v>
      </c>
      <c r="B232" s="21">
        <f t="shared" si="4"/>
        <v>100208007</v>
      </c>
      <c r="C232">
        <v>1002</v>
      </c>
      <c r="D232">
        <v>8007</v>
      </c>
      <c r="E232">
        <v>200</v>
      </c>
      <c r="F232" s="17" t="b">
        <v>1</v>
      </c>
      <c r="H232" t="s">
        <v>828</v>
      </c>
    </row>
    <row r="233" spans="1:8">
      <c r="A233" t="s">
        <v>209</v>
      </c>
      <c r="B233" s="21">
        <f t="shared" si="4"/>
        <v>100208008</v>
      </c>
      <c r="C233">
        <v>1002</v>
      </c>
      <c r="D233">
        <v>8008</v>
      </c>
      <c r="E233">
        <v>200</v>
      </c>
      <c r="F233" s="17" t="b">
        <v>1</v>
      </c>
      <c r="H233" t="s">
        <v>828</v>
      </c>
    </row>
    <row r="234" spans="1:8">
      <c r="A234" t="s">
        <v>209</v>
      </c>
      <c r="B234" s="21">
        <f t="shared" si="4"/>
        <v>100208009</v>
      </c>
      <c r="C234">
        <v>1002</v>
      </c>
      <c r="D234">
        <v>8009</v>
      </c>
      <c r="E234">
        <v>300</v>
      </c>
      <c r="F234" s="17" t="b">
        <v>1</v>
      </c>
      <c r="H234" t="s">
        <v>828</v>
      </c>
    </row>
    <row r="235" spans="1:8">
      <c r="A235" t="s">
        <v>209</v>
      </c>
      <c r="B235" s="21">
        <f t="shared" si="4"/>
        <v>100208010</v>
      </c>
      <c r="C235">
        <v>1002</v>
      </c>
      <c r="D235">
        <v>8010</v>
      </c>
      <c r="E235">
        <v>300</v>
      </c>
      <c r="F235" s="17" t="b">
        <v>1</v>
      </c>
      <c r="H235" t="s">
        <v>828</v>
      </c>
    </row>
    <row r="236" spans="1:8">
      <c r="A236" t="s">
        <v>209</v>
      </c>
      <c r="B236" s="21">
        <f t="shared" si="4"/>
        <v>100208011</v>
      </c>
      <c r="C236">
        <v>1002</v>
      </c>
      <c r="D236">
        <v>8011</v>
      </c>
      <c r="E236">
        <v>50</v>
      </c>
      <c r="F236" s="17" t="b">
        <v>1</v>
      </c>
      <c r="H236" t="s">
        <v>828</v>
      </c>
    </row>
    <row r="237" spans="1:8">
      <c r="A237" t="s">
        <v>209</v>
      </c>
      <c r="B237" s="21">
        <f t="shared" si="4"/>
        <v>100208012</v>
      </c>
      <c r="C237">
        <v>1002</v>
      </c>
      <c r="D237">
        <v>8012</v>
      </c>
      <c r="E237">
        <v>300</v>
      </c>
      <c r="F237" s="17" t="b">
        <v>1</v>
      </c>
      <c r="H237" t="s">
        <v>828</v>
      </c>
    </row>
    <row r="238" spans="1:8">
      <c r="A238" t="s">
        <v>209</v>
      </c>
      <c r="B238" s="21">
        <f t="shared" si="4"/>
        <v>100208013</v>
      </c>
      <c r="C238">
        <v>1002</v>
      </c>
      <c r="D238">
        <v>8013</v>
      </c>
      <c r="E238">
        <v>200</v>
      </c>
      <c r="F238" s="17" t="b">
        <v>1</v>
      </c>
      <c r="H238" t="s">
        <v>828</v>
      </c>
    </row>
    <row r="239" spans="1:8">
      <c r="A239" t="s">
        <v>209</v>
      </c>
      <c r="B239" s="21">
        <f t="shared" si="4"/>
        <v>100212001</v>
      </c>
      <c r="C239">
        <v>1002</v>
      </c>
      <c r="D239">
        <v>12001</v>
      </c>
      <c r="E239">
        <v>120</v>
      </c>
      <c r="F239" s="17" t="b">
        <v>1</v>
      </c>
      <c r="H239" t="s">
        <v>828</v>
      </c>
    </row>
    <row r="240" spans="1:8">
      <c r="A240" t="s">
        <v>209</v>
      </c>
      <c r="B240" s="21">
        <f t="shared" si="4"/>
        <v>100212002</v>
      </c>
      <c r="C240">
        <v>1002</v>
      </c>
      <c r="D240">
        <v>12002</v>
      </c>
      <c r="E240">
        <v>120</v>
      </c>
      <c r="F240" s="17" t="b">
        <v>1</v>
      </c>
      <c r="H240" t="s">
        <v>828</v>
      </c>
    </row>
    <row r="241" spans="1:8">
      <c r="A241" t="s">
        <v>209</v>
      </c>
      <c r="B241" s="21">
        <f t="shared" si="4"/>
        <v>200109001</v>
      </c>
      <c r="C241">
        <v>2001</v>
      </c>
      <c r="D241">
        <v>9001</v>
      </c>
      <c r="E241">
        <v>300</v>
      </c>
      <c r="F241" s="17" t="b">
        <v>1</v>
      </c>
      <c r="H241" t="s">
        <v>830</v>
      </c>
    </row>
    <row r="242" spans="1:8">
      <c r="A242" t="s">
        <v>209</v>
      </c>
      <c r="B242" s="21">
        <f t="shared" si="4"/>
        <v>200109002</v>
      </c>
      <c r="C242">
        <v>2001</v>
      </c>
      <c r="D242">
        <v>9002</v>
      </c>
      <c r="E242">
        <v>300</v>
      </c>
      <c r="F242" s="17" t="b">
        <v>1</v>
      </c>
      <c r="H242" t="s">
        <v>830</v>
      </c>
    </row>
    <row r="243" spans="1:8">
      <c r="A243" t="s">
        <v>209</v>
      </c>
      <c r="B243" s="21">
        <f t="shared" si="4"/>
        <v>200109003</v>
      </c>
      <c r="C243">
        <v>2001</v>
      </c>
      <c r="D243">
        <v>9003</v>
      </c>
      <c r="E243">
        <v>300</v>
      </c>
      <c r="F243" s="17" t="b">
        <v>1</v>
      </c>
      <c r="H243" t="s">
        <v>830</v>
      </c>
    </row>
    <row r="244" spans="1:8">
      <c r="A244" t="s">
        <v>209</v>
      </c>
      <c r="B244" s="21">
        <f t="shared" si="4"/>
        <v>200109004</v>
      </c>
      <c r="C244">
        <v>2001</v>
      </c>
      <c r="D244">
        <v>9004</v>
      </c>
      <c r="E244">
        <v>300</v>
      </c>
      <c r="F244" s="17" t="b">
        <v>1</v>
      </c>
      <c r="H244" t="s">
        <v>830</v>
      </c>
    </row>
    <row r="245" spans="1:8">
      <c r="A245" t="s">
        <v>209</v>
      </c>
      <c r="B245" s="21">
        <f t="shared" si="4"/>
        <v>200109005</v>
      </c>
      <c r="C245">
        <v>2001</v>
      </c>
      <c r="D245">
        <v>9005</v>
      </c>
      <c r="E245">
        <v>300</v>
      </c>
      <c r="F245" s="17" t="b">
        <v>1</v>
      </c>
      <c r="H245" t="s">
        <v>830</v>
      </c>
    </row>
    <row r="246" spans="1:8">
      <c r="A246" t="s">
        <v>209</v>
      </c>
      <c r="B246" s="21">
        <f t="shared" si="4"/>
        <v>200109006</v>
      </c>
      <c r="C246">
        <v>2001</v>
      </c>
      <c r="D246">
        <v>9006</v>
      </c>
      <c r="E246">
        <v>300</v>
      </c>
      <c r="F246" s="17" t="b">
        <v>1</v>
      </c>
      <c r="H246" t="s">
        <v>830</v>
      </c>
    </row>
    <row r="247" spans="1:8">
      <c r="A247" t="s">
        <v>209</v>
      </c>
      <c r="B247" s="21">
        <f t="shared" si="4"/>
        <v>200109007</v>
      </c>
      <c r="C247">
        <v>2001</v>
      </c>
      <c r="D247">
        <v>9007</v>
      </c>
      <c r="E247">
        <v>300</v>
      </c>
      <c r="F247" s="17" t="b">
        <v>1</v>
      </c>
      <c r="H247" t="s">
        <v>830</v>
      </c>
    </row>
    <row r="248" spans="1:8">
      <c r="A248" t="s">
        <v>209</v>
      </c>
      <c r="B248" s="21">
        <f t="shared" si="4"/>
        <v>200109008</v>
      </c>
      <c r="C248">
        <v>2001</v>
      </c>
      <c r="D248">
        <v>9008</v>
      </c>
      <c r="E248">
        <v>300</v>
      </c>
      <c r="F248" s="17" t="b">
        <v>1</v>
      </c>
      <c r="H248" t="s">
        <v>830</v>
      </c>
    </row>
    <row r="249" spans="1:8">
      <c r="A249" t="s">
        <v>209</v>
      </c>
      <c r="B249" s="21">
        <f t="shared" si="4"/>
        <v>200109009</v>
      </c>
      <c r="C249">
        <v>2001</v>
      </c>
      <c r="D249">
        <v>9009</v>
      </c>
      <c r="E249">
        <v>300</v>
      </c>
      <c r="F249" s="17" t="b">
        <v>1</v>
      </c>
      <c r="H249" t="s">
        <v>830</v>
      </c>
    </row>
    <row r="250" spans="1:8">
      <c r="A250" t="s">
        <v>209</v>
      </c>
      <c r="B250" s="21">
        <f t="shared" si="4"/>
        <v>200109010</v>
      </c>
      <c r="C250">
        <v>2001</v>
      </c>
      <c r="D250">
        <v>9010</v>
      </c>
      <c r="E250">
        <v>300</v>
      </c>
      <c r="F250" s="17" t="b">
        <v>1</v>
      </c>
      <c r="H250" t="s">
        <v>830</v>
      </c>
    </row>
    <row r="251" spans="1:8">
      <c r="A251" t="s">
        <v>209</v>
      </c>
      <c r="B251" s="21">
        <f t="shared" si="4"/>
        <v>200109011</v>
      </c>
      <c r="C251">
        <v>2001</v>
      </c>
      <c r="D251">
        <v>9011</v>
      </c>
      <c r="E251">
        <v>300</v>
      </c>
      <c r="F251" s="17" t="b">
        <v>1</v>
      </c>
      <c r="H251" t="s">
        <v>830</v>
      </c>
    </row>
    <row r="252" spans="1:8">
      <c r="A252" t="s">
        <v>209</v>
      </c>
      <c r="B252" s="21">
        <f t="shared" si="4"/>
        <v>300151001</v>
      </c>
      <c r="C252">
        <v>3001</v>
      </c>
      <c r="D252">
        <v>51001</v>
      </c>
      <c r="E252">
        <v>100</v>
      </c>
      <c r="F252" s="17" t="b">
        <v>0</v>
      </c>
      <c r="H252" t="s">
        <v>913</v>
      </c>
    </row>
    <row r="253" spans="1:8">
      <c r="A253" t="s">
        <v>209</v>
      </c>
      <c r="B253" s="21">
        <f t="shared" si="4"/>
        <v>300152001</v>
      </c>
      <c r="C253">
        <v>3001</v>
      </c>
      <c r="D253">
        <v>52001</v>
      </c>
      <c r="E253">
        <v>100</v>
      </c>
      <c r="F253" s="17" t="b">
        <v>0</v>
      </c>
      <c r="H253" t="s">
        <v>913</v>
      </c>
    </row>
    <row r="254" spans="1:8">
      <c r="A254" t="s">
        <v>209</v>
      </c>
      <c r="B254" s="21">
        <f t="shared" si="4"/>
        <v>300191012</v>
      </c>
      <c r="C254">
        <v>3001</v>
      </c>
      <c r="D254">
        <v>91012</v>
      </c>
      <c r="E254">
        <v>100</v>
      </c>
      <c r="F254" s="17" t="b">
        <v>0</v>
      </c>
      <c r="H254" t="s">
        <v>913</v>
      </c>
    </row>
    <row r="255" spans="1:8">
      <c r="A255" t="s">
        <v>209</v>
      </c>
      <c r="B255" s="21">
        <f t="shared" si="4"/>
        <v>300192005</v>
      </c>
      <c r="C255">
        <v>3001</v>
      </c>
      <c r="D255">
        <v>92005</v>
      </c>
      <c r="E255">
        <v>100</v>
      </c>
      <c r="F255" s="17" t="b">
        <v>0</v>
      </c>
      <c r="H255" t="s">
        <v>913</v>
      </c>
    </row>
    <row r="256" spans="1:8">
      <c r="B256" s="21">
        <f t="shared" si="4"/>
        <v>200202003</v>
      </c>
      <c r="C256">
        <v>2002</v>
      </c>
      <c r="D256">
        <v>2003</v>
      </c>
      <c r="E256">
        <v>100</v>
      </c>
      <c r="F256" s="17" t="b">
        <v>1</v>
      </c>
      <c r="H256" t="s">
        <v>899</v>
      </c>
    </row>
    <row r="257" spans="2:8">
      <c r="B257" s="21">
        <f t="shared" si="4"/>
        <v>200202009</v>
      </c>
      <c r="C257">
        <v>2002</v>
      </c>
      <c r="D257">
        <v>2009</v>
      </c>
      <c r="E257">
        <v>100</v>
      </c>
      <c r="F257" s="17" t="b">
        <v>1</v>
      </c>
      <c r="H257" t="s">
        <v>899</v>
      </c>
    </row>
    <row r="258" spans="2:8">
      <c r="B258" s="21">
        <f t="shared" ref="B258:B269" si="5">C258*100000+D258</f>
        <v>200202022</v>
      </c>
      <c r="C258">
        <v>2002</v>
      </c>
      <c r="D258">
        <v>2022</v>
      </c>
      <c r="E258">
        <v>100</v>
      </c>
      <c r="F258" s="17" t="b">
        <v>1</v>
      </c>
      <c r="H258" t="s">
        <v>899</v>
      </c>
    </row>
    <row r="259" spans="2:8">
      <c r="B259" s="21">
        <f t="shared" si="5"/>
        <v>200202029</v>
      </c>
      <c r="C259">
        <v>2002</v>
      </c>
      <c r="D259">
        <v>2029</v>
      </c>
      <c r="E259">
        <v>100</v>
      </c>
      <c r="F259" s="17" t="b">
        <v>1</v>
      </c>
      <c r="H259" t="s">
        <v>899</v>
      </c>
    </row>
    <row r="260" spans="2:8">
      <c r="B260" s="21">
        <f t="shared" si="5"/>
        <v>200202032</v>
      </c>
      <c r="C260">
        <v>2002</v>
      </c>
      <c r="D260">
        <v>2032</v>
      </c>
      <c r="E260">
        <v>100</v>
      </c>
      <c r="F260" s="17" t="b">
        <v>1</v>
      </c>
      <c r="H260" t="s">
        <v>899</v>
      </c>
    </row>
    <row r="261" spans="2:8">
      <c r="B261" s="21">
        <f t="shared" si="5"/>
        <v>200205004</v>
      </c>
      <c r="C261">
        <v>2002</v>
      </c>
      <c r="D261">
        <v>5004</v>
      </c>
      <c r="E261">
        <v>100</v>
      </c>
      <c r="F261" s="17" t="b">
        <v>1</v>
      </c>
      <c r="H261" t="s">
        <v>899</v>
      </c>
    </row>
    <row r="262" spans="2:8">
      <c r="B262" s="21">
        <f t="shared" si="5"/>
        <v>200206006</v>
      </c>
      <c r="C262">
        <v>2002</v>
      </c>
      <c r="D262">
        <v>6006</v>
      </c>
      <c r="E262">
        <v>100</v>
      </c>
      <c r="F262" s="17" t="b">
        <v>1</v>
      </c>
      <c r="H262" t="s">
        <v>899</v>
      </c>
    </row>
    <row r="263" spans="2:8">
      <c r="B263" s="21">
        <f t="shared" si="5"/>
        <v>200208005</v>
      </c>
      <c r="C263">
        <v>2002</v>
      </c>
      <c r="D263">
        <v>8005</v>
      </c>
      <c r="E263">
        <v>100</v>
      </c>
      <c r="F263" s="17" t="b">
        <v>1</v>
      </c>
      <c r="H263" t="s">
        <v>899</v>
      </c>
    </row>
    <row r="264" spans="2:8">
      <c r="B264" s="21">
        <f t="shared" si="5"/>
        <v>200206008</v>
      </c>
      <c r="C264">
        <v>2002</v>
      </c>
      <c r="D264">
        <v>6008</v>
      </c>
      <c r="E264">
        <v>100</v>
      </c>
      <c r="F264" s="17" t="b">
        <v>1</v>
      </c>
      <c r="H264" t="s">
        <v>899</v>
      </c>
    </row>
    <row r="265" spans="2:8">
      <c r="B265" s="21">
        <f t="shared" si="5"/>
        <v>200207008</v>
      </c>
      <c r="C265">
        <v>2002</v>
      </c>
      <c r="D265">
        <v>7008</v>
      </c>
      <c r="E265">
        <v>100</v>
      </c>
      <c r="F265" s="17" t="b">
        <v>1</v>
      </c>
      <c r="H265" t="s">
        <v>899</v>
      </c>
    </row>
    <row r="266" spans="2:8">
      <c r="B266" s="21">
        <f t="shared" si="5"/>
        <v>200208012</v>
      </c>
      <c r="C266">
        <v>2002</v>
      </c>
      <c r="D266">
        <v>8012</v>
      </c>
      <c r="E266">
        <v>100</v>
      </c>
      <c r="F266" s="17" t="b">
        <v>1</v>
      </c>
      <c r="H266" t="s">
        <v>899</v>
      </c>
    </row>
    <row r="267" spans="2:8">
      <c r="B267" s="21">
        <f t="shared" si="5"/>
        <v>200301008</v>
      </c>
      <c r="C267">
        <v>2003</v>
      </c>
      <c r="D267">
        <v>1008</v>
      </c>
      <c r="E267">
        <v>100</v>
      </c>
      <c r="F267" s="17" t="b">
        <v>1</v>
      </c>
      <c r="H267" t="s">
        <v>900</v>
      </c>
    </row>
    <row r="268" spans="2:8">
      <c r="B268" s="21">
        <v>200301011</v>
      </c>
      <c r="C268">
        <v>2003</v>
      </c>
      <c r="D268">
        <v>1011</v>
      </c>
      <c r="E268">
        <v>100</v>
      </c>
      <c r="F268" s="17" t="b">
        <v>1</v>
      </c>
      <c r="H268" t="s">
        <v>900</v>
      </c>
    </row>
    <row r="269" spans="2:8">
      <c r="B269" s="21">
        <v>200301013</v>
      </c>
      <c r="C269">
        <v>2003</v>
      </c>
      <c r="D269">
        <v>1013</v>
      </c>
      <c r="E269">
        <v>100</v>
      </c>
      <c r="F269" s="17" t="b">
        <v>1</v>
      </c>
      <c r="H269" t="s">
        <v>900</v>
      </c>
    </row>
    <row r="270" spans="2:8">
      <c r="B270" s="21">
        <f>C270*100000+D270</f>
        <v>200302013</v>
      </c>
      <c r="C270">
        <v>2003</v>
      </c>
      <c r="D270">
        <v>2013</v>
      </c>
      <c r="E270">
        <v>600</v>
      </c>
      <c r="F270" s="17" t="b">
        <v>1</v>
      </c>
      <c r="H270" t="s">
        <v>900</v>
      </c>
    </row>
    <row r="271" spans="2:8">
      <c r="B271" s="21">
        <f>C271*100000+D271</f>
        <v>400202018</v>
      </c>
      <c r="C271">
        <v>4002</v>
      </c>
      <c r="D271">
        <v>2018</v>
      </c>
      <c r="E271">
        <v>100</v>
      </c>
      <c r="F271" s="17" t="b">
        <v>1</v>
      </c>
      <c r="G271" s="18">
        <v>1</v>
      </c>
    </row>
    <row r="272" spans="2:8">
      <c r="B272" s="21">
        <f>C272*100000+D272</f>
        <v>400201020</v>
      </c>
      <c r="C272">
        <v>4002</v>
      </c>
      <c r="D272">
        <v>1020</v>
      </c>
      <c r="E272">
        <v>100</v>
      </c>
      <c r="F272" s="17" t="b">
        <v>1</v>
      </c>
      <c r="G272" s="18">
        <v>2</v>
      </c>
    </row>
    <row r="273" spans="2:7">
      <c r="B273" s="21">
        <f>C273*100000+D273</f>
        <v>400202022</v>
      </c>
      <c r="C273">
        <v>4002</v>
      </c>
      <c r="D273">
        <v>2022</v>
      </c>
      <c r="E273">
        <v>100</v>
      </c>
      <c r="F273" s="17" t="b">
        <v>1</v>
      </c>
      <c r="G273" s="18">
        <v>3</v>
      </c>
    </row>
    <row r="274" spans="2:7">
      <c r="B274" s="21">
        <f>C274*100000+D274</f>
        <v>400202029</v>
      </c>
      <c r="C274">
        <v>4002</v>
      </c>
      <c r="D274">
        <v>2029</v>
      </c>
      <c r="E274">
        <v>100</v>
      </c>
      <c r="F274" s="17" t="b">
        <v>1</v>
      </c>
      <c r="G274" s="18">
        <v>4</v>
      </c>
    </row>
    <row r="275" spans="2:7">
      <c r="B275" s="21"/>
    </row>
    <row r="276" spans="2:7">
      <c r="B276" s="21"/>
    </row>
    <row r="277" spans="2:7">
      <c r="B277" s="21"/>
    </row>
    <row r="278" spans="2:7">
      <c r="B278" s="21"/>
    </row>
    <row r="279" spans="2:7">
      <c r="B279" s="21"/>
    </row>
    <row r="280" spans="2:7">
      <c r="B280" s="21"/>
    </row>
    <row r="281" spans="2:7">
      <c r="B281" s="21"/>
    </row>
    <row r="282" spans="2:7">
      <c r="B282" s="21"/>
    </row>
    <row r="283" spans="2:7">
      <c r="B283" s="21"/>
    </row>
    <row r="284" spans="2:7">
      <c r="B284" s="21"/>
    </row>
    <row r="285" spans="2:7">
      <c r="B285" s="21"/>
    </row>
  </sheetData>
  <conditionalFormatting sqref="H$1:H$1048576">
    <cfRule type="cellIs" dxfId="9" priority="1" operator="equal">
      <formula>"Demo盲盒狗"</formula>
    </cfRule>
    <cfRule type="cellIs" dxfId="10" priority="3" operator="equal">
      <formula>"Demo盲盒普"</formula>
    </cfRule>
    <cfRule type="cellIs" dxfId="11" priority="5" operator="equal">
      <formula>"新手盲盒"</formula>
    </cfRule>
    <cfRule type="cellIs" dxfId="12" priority="6" operator="equal">
      <formula>"标准盲盒"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opLeftCell="A3" workbookViewId="0">
      <selection activeCell="N20" sqref="N20"/>
    </sheetView>
  </sheetViews>
  <sheetFormatPr defaultColWidth="8.66666666666667" defaultRowHeight="17.4"/>
  <cols>
    <col min="1" max="1" width="6.91666666666667" customWidth="1"/>
    <col min="2" max="2" width="7.25" customWidth="1"/>
    <col min="3" max="3" width="10.4166666666667" customWidth="1"/>
    <col min="4" max="4" width="7.91666666666667" customWidth="1"/>
    <col min="5" max="5" width="9.5" customWidth="1"/>
    <col min="6" max="7" width="13.5" customWidth="1"/>
    <col min="8" max="8" width="12.25" customWidth="1"/>
    <col min="9" max="9" width="8.41666666666667" customWidth="1"/>
    <col min="10" max="10" width="11.6666666666667" customWidth="1"/>
    <col min="11" max="11" width="8.83333333333333" customWidth="1"/>
  </cols>
  <sheetData>
    <row r="1" spans="1:11">
      <c r="A1" t="s">
        <v>0</v>
      </c>
      <c r="B1" t="s">
        <v>1</v>
      </c>
      <c r="C1" t="s">
        <v>914</v>
      </c>
      <c r="D1" t="s">
        <v>892</v>
      </c>
      <c r="E1" t="s">
        <v>915</v>
      </c>
      <c r="F1" t="s">
        <v>916</v>
      </c>
      <c r="G1" t="s">
        <v>917</v>
      </c>
      <c r="H1" t="s">
        <v>918</v>
      </c>
      <c r="I1" t="s">
        <v>795</v>
      </c>
      <c r="J1" t="s">
        <v>919</v>
      </c>
    </row>
    <row r="2" spans="1:11">
      <c r="A2" t="s">
        <v>28</v>
      </c>
      <c r="B2" t="s">
        <v>29</v>
      </c>
      <c r="C2" t="s">
        <v>34</v>
      </c>
      <c r="D2" t="s">
        <v>29</v>
      </c>
      <c r="E2" t="s">
        <v>34</v>
      </c>
      <c r="F2" t="s">
        <v>34</v>
      </c>
      <c r="G2" t="s">
        <v>34</v>
      </c>
      <c r="H2" t="s">
        <v>34</v>
      </c>
      <c r="I2" t="s">
        <v>35</v>
      </c>
      <c r="J2" t="s">
        <v>35</v>
      </c>
    </row>
    <row r="3" s="2" customFormat="1" ht="69" customHeight="1" spans="1:11">
      <c r="A3" s="2" t="s">
        <v>39</v>
      </c>
      <c r="B3" s="2" t="s">
        <v>209</v>
      </c>
      <c r="C3" s="2" t="s">
        <v>920</v>
      </c>
      <c r="D3" s="2" t="s">
        <v>921</v>
      </c>
      <c r="E3" s="2" t="s">
        <v>922</v>
      </c>
      <c r="F3" s="2" t="s">
        <v>923</v>
      </c>
      <c r="G3" s="2" t="s">
        <v>923</v>
      </c>
      <c r="H3" s="2" t="s">
        <v>924</v>
      </c>
      <c r="I3" s="2" t="s">
        <v>821</v>
      </c>
      <c r="J3" s="2" t="s">
        <v>925</v>
      </c>
    </row>
    <row r="4" spans="1:11">
      <c r="A4" t="s">
        <v>39</v>
      </c>
      <c r="B4" t="s">
        <v>56</v>
      </c>
      <c r="C4" t="s">
        <v>926</v>
      </c>
      <c r="D4" t="s">
        <v>927</v>
      </c>
      <c r="E4" t="s">
        <v>928</v>
      </c>
      <c r="F4" t="s">
        <v>929</v>
      </c>
      <c r="G4" t="s">
        <v>929</v>
      </c>
      <c r="H4" t="s">
        <v>930</v>
      </c>
      <c r="I4" t="s">
        <v>821</v>
      </c>
      <c r="J4" t="s">
        <v>931</v>
      </c>
      <c r="K4" t="s">
        <v>897</v>
      </c>
    </row>
    <row r="5" spans="1:11">
      <c r="A5" t="s">
        <v>209</v>
      </c>
      <c r="B5">
        <v>100401</v>
      </c>
      <c r="C5" t="s">
        <v>86</v>
      </c>
      <c r="D5">
        <v>100</v>
      </c>
      <c r="E5" t="s">
        <v>86</v>
      </c>
      <c r="F5" t="s">
        <v>86</v>
      </c>
      <c r="G5" t="s">
        <v>86</v>
      </c>
      <c r="H5" t="s">
        <v>86</v>
      </c>
      <c r="I5" t="b">
        <v>1</v>
      </c>
      <c r="J5" t="b">
        <v>1</v>
      </c>
    </row>
    <row r="6" spans="1:11">
      <c r="A6" t="s">
        <v>39</v>
      </c>
      <c r="B6" t="s">
        <v>209</v>
      </c>
      <c r="C6" t="s">
        <v>209</v>
      </c>
      <c r="D6" t="s">
        <v>209</v>
      </c>
      <c r="E6" t="s">
        <v>209</v>
      </c>
      <c r="F6" t="s">
        <v>209</v>
      </c>
      <c r="G6" t="s">
        <v>209</v>
      </c>
      <c r="H6" t="s">
        <v>209</v>
      </c>
      <c r="I6" t="s">
        <v>209</v>
      </c>
      <c r="J6" t="s">
        <v>209</v>
      </c>
    </row>
    <row r="7" spans="1:11">
      <c r="A7" t="s">
        <v>209</v>
      </c>
      <c r="B7">
        <v>100501</v>
      </c>
      <c r="C7" t="s">
        <v>100</v>
      </c>
      <c r="D7">
        <v>45</v>
      </c>
      <c r="E7" t="s">
        <v>86</v>
      </c>
      <c r="F7" t="s">
        <v>86</v>
      </c>
      <c r="G7" t="s">
        <v>86</v>
      </c>
      <c r="H7" t="s">
        <v>100</v>
      </c>
      <c r="I7" t="b">
        <v>1</v>
      </c>
      <c r="J7" t="b">
        <v>1</v>
      </c>
    </row>
    <row r="8" spans="1:11">
      <c r="A8" t="s">
        <v>209</v>
      </c>
      <c r="B8">
        <v>100502</v>
      </c>
      <c r="C8" t="s">
        <v>100</v>
      </c>
      <c r="D8">
        <v>45</v>
      </c>
      <c r="E8" t="s">
        <v>86</v>
      </c>
      <c r="F8" t="s">
        <v>86</v>
      </c>
      <c r="G8" t="s">
        <v>100</v>
      </c>
      <c r="H8" t="s">
        <v>100</v>
      </c>
      <c r="I8" t="b">
        <v>1</v>
      </c>
      <c r="J8" t="b">
        <v>1</v>
      </c>
    </row>
    <row r="9" spans="1:11">
      <c r="A9" t="s">
        <v>209</v>
      </c>
      <c r="B9">
        <v>100503</v>
      </c>
      <c r="C9" t="s">
        <v>100</v>
      </c>
      <c r="D9">
        <v>10</v>
      </c>
      <c r="E9" t="s">
        <v>86</v>
      </c>
      <c r="F9" t="s">
        <v>100</v>
      </c>
      <c r="G9" t="s">
        <v>100</v>
      </c>
      <c r="H9" t="s">
        <v>100</v>
      </c>
      <c r="I9" t="b">
        <v>1</v>
      </c>
      <c r="J9" t="b">
        <v>1</v>
      </c>
    </row>
    <row r="10" spans="1:11">
      <c r="A10" t="s">
        <v>39</v>
      </c>
      <c r="B10" t="s">
        <v>209</v>
      </c>
      <c r="C10" t="s">
        <v>209</v>
      </c>
      <c r="D10" t="s">
        <v>209</v>
      </c>
      <c r="E10" t="s">
        <v>209</v>
      </c>
      <c r="F10" t="s">
        <v>209</v>
      </c>
      <c r="G10" t="s">
        <v>209</v>
      </c>
      <c r="H10" t="s">
        <v>209</v>
      </c>
      <c r="I10" t="s">
        <v>209</v>
      </c>
      <c r="J10" t="s">
        <v>209</v>
      </c>
    </row>
    <row r="11" spans="1:11">
      <c r="A11" t="s">
        <v>209</v>
      </c>
      <c r="B11">
        <v>100601</v>
      </c>
      <c r="C11" t="s">
        <v>94</v>
      </c>
      <c r="D11">
        <v>45</v>
      </c>
      <c r="E11" t="s">
        <v>86</v>
      </c>
      <c r="F11" t="s">
        <v>86</v>
      </c>
      <c r="G11" t="s">
        <v>100</v>
      </c>
      <c r="H11" t="s">
        <v>94</v>
      </c>
      <c r="I11" t="b">
        <v>1</v>
      </c>
      <c r="J11" t="b">
        <v>1</v>
      </c>
    </row>
    <row r="12" spans="1:11">
      <c r="A12" t="s">
        <v>209</v>
      </c>
      <c r="B12">
        <v>100602</v>
      </c>
      <c r="C12" t="s">
        <v>94</v>
      </c>
      <c r="D12">
        <v>25</v>
      </c>
      <c r="E12" t="s">
        <v>86</v>
      </c>
      <c r="F12" t="s">
        <v>100</v>
      </c>
      <c r="G12" t="s">
        <v>100</v>
      </c>
      <c r="H12" t="s">
        <v>94</v>
      </c>
      <c r="I12" t="b">
        <v>1</v>
      </c>
      <c r="J12" t="b">
        <v>1</v>
      </c>
    </row>
    <row r="13" spans="1:11">
      <c r="A13" t="s">
        <v>209</v>
      </c>
      <c r="B13">
        <v>100603</v>
      </c>
      <c r="C13" t="s">
        <v>94</v>
      </c>
      <c r="D13">
        <v>25</v>
      </c>
      <c r="E13" t="s">
        <v>86</v>
      </c>
      <c r="F13" t="s">
        <v>100</v>
      </c>
      <c r="G13" t="s">
        <v>94</v>
      </c>
      <c r="H13" t="s">
        <v>94</v>
      </c>
      <c r="I13" t="b">
        <v>1</v>
      </c>
      <c r="J13" t="b">
        <v>1</v>
      </c>
    </row>
    <row r="14" spans="1:11">
      <c r="B14">
        <v>100604</v>
      </c>
      <c r="C14" t="s">
        <v>94</v>
      </c>
      <c r="D14">
        <v>5</v>
      </c>
      <c r="E14" t="s">
        <v>100</v>
      </c>
      <c r="F14" t="s">
        <v>94</v>
      </c>
      <c r="G14" t="s">
        <v>94</v>
      </c>
      <c r="H14" t="s">
        <v>94</v>
      </c>
      <c r="I14" t="b">
        <v>1</v>
      </c>
      <c r="J14" t="b">
        <v>1</v>
      </c>
    </row>
    <row r="15" spans="1:11">
      <c r="A15" t="s">
        <v>39</v>
      </c>
      <c r="B15" t="s">
        <v>209</v>
      </c>
      <c r="C15" t="s">
        <v>209</v>
      </c>
      <c r="D15" t="s">
        <v>209</v>
      </c>
      <c r="E15" t="s">
        <v>209</v>
      </c>
      <c r="F15" t="s">
        <v>209</v>
      </c>
      <c r="G15" t="s">
        <v>209</v>
      </c>
      <c r="H15" t="s">
        <v>209</v>
      </c>
      <c r="I15" t="s">
        <v>209</v>
      </c>
      <c r="J15" t="s">
        <v>209</v>
      </c>
    </row>
    <row r="16" spans="1:11">
      <c r="A16" t="s">
        <v>209</v>
      </c>
      <c r="B16">
        <v>100701</v>
      </c>
      <c r="C16" t="s">
        <v>109</v>
      </c>
      <c r="D16">
        <v>65</v>
      </c>
      <c r="E16" t="s">
        <v>86</v>
      </c>
      <c r="F16" t="s">
        <v>100</v>
      </c>
      <c r="G16" t="s">
        <v>94</v>
      </c>
      <c r="H16" t="s">
        <v>109</v>
      </c>
      <c r="I16" t="b">
        <v>1</v>
      </c>
      <c r="J16" t="b">
        <v>1</v>
      </c>
    </row>
    <row r="17" spans="1:11">
      <c r="A17" t="s">
        <v>209</v>
      </c>
      <c r="B17">
        <v>100702</v>
      </c>
      <c r="C17" t="s">
        <v>109</v>
      </c>
      <c r="D17">
        <v>15</v>
      </c>
      <c r="E17" t="s">
        <v>86</v>
      </c>
      <c r="F17" t="s">
        <v>94</v>
      </c>
      <c r="G17" t="s">
        <v>94</v>
      </c>
      <c r="H17" t="s">
        <v>109</v>
      </c>
      <c r="I17" t="b">
        <v>1</v>
      </c>
      <c r="J17" t="b">
        <v>1</v>
      </c>
      <c r="K17" t="s">
        <v>932</v>
      </c>
    </row>
    <row r="18" spans="1:11">
      <c r="A18" t="s">
        <v>209</v>
      </c>
      <c r="B18">
        <v>100703</v>
      </c>
      <c r="C18" t="s">
        <v>109</v>
      </c>
      <c r="D18">
        <v>15</v>
      </c>
      <c r="E18" t="s">
        <v>86</v>
      </c>
      <c r="F18" t="s">
        <v>100</v>
      </c>
      <c r="G18" t="s">
        <v>100</v>
      </c>
      <c r="H18" t="s">
        <v>109</v>
      </c>
      <c r="I18" t="b">
        <v>1</v>
      </c>
      <c r="J18" t="b">
        <v>1</v>
      </c>
      <c r="K18" t="s">
        <v>932</v>
      </c>
    </row>
    <row r="19" spans="1:11">
      <c r="A19" t="s">
        <v>209</v>
      </c>
      <c r="B19">
        <v>100704</v>
      </c>
      <c r="C19" t="s">
        <v>109</v>
      </c>
      <c r="D19">
        <v>5</v>
      </c>
      <c r="E19" t="s">
        <v>100</v>
      </c>
      <c r="F19" t="s">
        <v>94</v>
      </c>
      <c r="G19" t="s">
        <v>109</v>
      </c>
      <c r="H19" t="s">
        <v>109</v>
      </c>
      <c r="I19" t="b">
        <v>1</v>
      </c>
      <c r="J19" t="b">
        <v>1</v>
      </c>
    </row>
    <row r="20" spans="1:11">
      <c r="A20" t="s">
        <v>39</v>
      </c>
      <c r="B20" t="s">
        <v>209</v>
      </c>
      <c r="C20" t="s">
        <v>209</v>
      </c>
      <c r="D20" t="s">
        <v>209</v>
      </c>
      <c r="E20" t="s">
        <v>209</v>
      </c>
      <c r="F20" t="s">
        <v>209</v>
      </c>
      <c r="G20" t="s">
        <v>209</v>
      </c>
      <c r="H20" t="s">
        <v>209</v>
      </c>
      <c r="I20" t="s">
        <v>209</v>
      </c>
      <c r="J20" t="s">
        <v>209</v>
      </c>
    </row>
    <row r="21" spans="1:11">
      <c r="A21" t="s">
        <v>209</v>
      </c>
      <c r="B21">
        <v>100801</v>
      </c>
      <c r="C21" t="s">
        <v>113</v>
      </c>
      <c r="D21">
        <v>37</v>
      </c>
      <c r="E21" t="s">
        <v>86</v>
      </c>
      <c r="F21" t="s">
        <v>94</v>
      </c>
      <c r="G21" t="s">
        <v>109</v>
      </c>
      <c r="H21" t="s">
        <v>113</v>
      </c>
      <c r="I21" t="b">
        <v>1</v>
      </c>
      <c r="J21" t="b">
        <v>1</v>
      </c>
      <c r="K21" t="s">
        <v>932</v>
      </c>
    </row>
    <row r="22" spans="1:11">
      <c r="A22" t="s">
        <v>209</v>
      </c>
      <c r="B22">
        <v>100802</v>
      </c>
      <c r="C22" t="s">
        <v>113</v>
      </c>
      <c r="D22">
        <v>55</v>
      </c>
      <c r="E22" t="s">
        <v>86</v>
      </c>
      <c r="F22" t="s">
        <v>100</v>
      </c>
      <c r="G22" t="s">
        <v>109</v>
      </c>
      <c r="H22" t="s">
        <v>113</v>
      </c>
      <c r="I22" t="b">
        <v>1</v>
      </c>
      <c r="J22" t="b">
        <v>1</v>
      </c>
      <c r="K22" t="s">
        <v>932</v>
      </c>
    </row>
    <row r="23" spans="1:11">
      <c r="A23" t="s">
        <v>209</v>
      </c>
      <c r="B23">
        <v>100803</v>
      </c>
      <c r="C23" t="s">
        <v>113</v>
      </c>
      <c r="D23">
        <v>3</v>
      </c>
      <c r="E23" t="s">
        <v>94</v>
      </c>
      <c r="F23" t="s">
        <v>109</v>
      </c>
      <c r="G23" t="s">
        <v>109</v>
      </c>
      <c r="H23" t="s">
        <v>113</v>
      </c>
      <c r="I23" t="b">
        <v>1</v>
      </c>
      <c r="J23" t="b">
        <v>1</v>
      </c>
    </row>
    <row r="24" spans="1:11">
      <c r="A24" t="s">
        <v>209</v>
      </c>
      <c r="B24">
        <v>100804</v>
      </c>
      <c r="C24" t="s">
        <v>113</v>
      </c>
      <c r="D24">
        <v>5</v>
      </c>
      <c r="E24" t="s">
        <v>100</v>
      </c>
      <c r="F24" t="s">
        <v>94</v>
      </c>
      <c r="G24" t="s">
        <v>109</v>
      </c>
      <c r="H24" t="s">
        <v>113</v>
      </c>
      <c r="I24" t="b">
        <v>1</v>
      </c>
      <c r="J24" t="b">
        <v>1</v>
      </c>
    </row>
    <row r="25" spans="1:11">
      <c r="A25" t="s">
        <v>39</v>
      </c>
      <c r="B25" t="s">
        <v>209</v>
      </c>
      <c r="C25" t="s">
        <v>209</v>
      </c>
      <c r="D25" t="s">
        <v>209</v>
      </c>
      <c r="E25" t="s">
        <v>209</v>
      </c>
      <c r="F25" t="s">
        <v>209</v>
      </c>
      <c r="G25" t="s">
        <v>209</v>
      </c>
      <c r="H25" t="s">
        <v>209</v>
      </c>
      <c r="I25" t="s">
        <v>209</v>
      </c>
      <c r="J25" t="s">
        <v>209</v>
      </c>
    </row>
    <row r="26" spans="1:11">
      <c r="A26" t="s">
        <v>209</v>
      </c>
      <c r="B26">
        <v>100901</v>
      </c>
      <c r="C26" t="s">
        <v>129</v>
      </c>
      <c r="D26">
        <v>25</v>
      </c>
      <c r="E26" t="s">
        <v>94</v>
      </c>
      <c r="F26" t="s">
        <v>109</v>
      </c>
      <c r="G26" t="s">
        <v>113</v>
      </c>
      <c r="H26" t="s">
        <v>129</v>
      </c>
      <c r="I26" t="b">
        <v>1</v>
      </c>
      <c r="J26" t="b">
        <v>1</v>
      </c>
    </row>
    <row r="27" spans="1:11">
      <c r="A27" t="s">
        <v>209</v>
      </c>
      <c r="B27">
        <v>100902</v>
      </c>
      <c r="C27" t="s">
        <v>129</v>
      </c>
      <c r="D27">
        <v>25</v>
      </c>
      <c r="E27" t="s">
        <v>94</v>
      </c>
      <c r="F27" t="s">
        <v>94</v>
      </c>
      <c r="G27" t="s">
        <v>113</v>
      </c>
      <c r="H27" t="s">
        <v>129</v>
      </c>
      <c r="I27" t="b">
        <v>1</v>
      </c>
      <c r="J27" t="b">
        <v>1</v>
      </c>
      <c r="K27" t="s">
        <v>932</v>
      </c>
    </row>
    <row r="28" spans="1:11">
      <c r="A28" t="s">
        <v>209</v>
      </c>
      <c r="B28">
        <v>100903</v>
      </c>
      <c r="C28" t="s">
        <v>129</v>
      </c>
      <c r="D28">
        <v>25</v>
      </c>
      <c r="E28" t="s">
        <v>94</v>
      </c>
      <c r="F28" t="s">
        <v>113</v>
      </c>
      <c r="G28" t="s">
        <v>113</v>
      </c>
      <c r="H28" t="s">
        <v>129</v>
      </c>
      <c r="I28" t="b">
        <v>1</v>
      </c>
      <c r="J28" t="b">
        <v>1</v>
      </c>
      <c r="K28" t="s">
        <v>932</v>
      </c>
    </row>
    <row r="29" spans="1:11">
      <c r="A29" t="s">
        <v>209</v>
      </c>
      <c r="B29">
        <v>100904</v>
      </c>
      <c r="C29" t="s">
        <v>129</v>
      </c>
      <c r="D29">
        <v>25</v>
      </c>
      <c r="E29" t="s">
        <v>86</v>
      </c>
      <c r="F29" t="s">
        <v>94</v>
      </c>
      <c r="G29" t="s">
        <v>113</v>
      </c>
      <c r="H29" t="s">
        <v>129</v>
      </c>
      <c r="I29" t="b">
        <v>1</v>
      </c>
      <c r="J29" t="b">
        <v>1</v>
      </c>
      <c r="K29" t="s">
        <v>932</v>
      </c>
    </row>
    <row r="30" spans="1:11">
      <c r="A30" t="s">
        <v>39</v>
      </c>
      <c r="B30" t="s">
        <v>209</v>
      </c>
      <c r="C30" t="s">
        <v>209</v>
      </c>
      <c r="D30" t="s">
        <v>209</v>
      </c>
      <c r="E30" t="s">
        <v>209</v>
      </c>
      <c r="F30" t="s">
        <v>209</v>
      </c>
      <c r="G30" t="s">
        <v>209</v>
      </c>
      <c r="H30" t="s">
        <v>209</v>
      </c>
      <c r="I30" t="s">
        <v>209</v>
      </c>
      <c r="J30" t="s">
        <v>209</v>
      </c>
    </row>
    <row r="31" spans="1:11">
      <c r="A31" t="s">
        <v>209</v>
      </c>
      <c r="B31">
        <v>200101</v>
      </c>
      <c r="C31" t="s">
        <v>345</v>
      </c>
      <c r="D31">
        <v>100</v>
      </c>
      <c r="E31" t="s">
        <v>345</v>
      </c>
      <c r="F31" t="s">
        <v>345</v>
      </c>
      <c r="G31" t="s">
        <v>345</v>
      </c>
      <c r="H31" t="s">
        <v>345</v>
      </c>
      <c r="I31" t="b">
        <v>0</v>
      </c>
      <c r="J31" t="b">
        <v>1</v>
      </c>
    </row>
    <row r="32" spans="1:11">
      <c r="A32" t="s">
        <v>209</v>
      </c>
      <c r="B32">
        <v>200201</v>
      </c>
      <c r="C32" t="s">
        <v>718</v>
      </c>
      <c r="D32">
        <v>100</v>
      </c>
      <c r="E32" t="s">
        <v>718</v>
      </c>
      <c r="F32" t="s">
        <v>718</v>
      </c>
      <c r="G32" t="s">
        <v>718</v>
      </c>
      <c r="H32" t="s">
        <v>718</v>
      </c>
      <c r="I32" t="b">
        <v>0</v>
      </c>
      <c r="J32" t="b">
        <v>1</v>
      </c>
    </row>
    <row r="33" spans="2:10">
      <c r="B33" t="s">
        <v>209</v>
      </c>
      <c r="C33" t="s">
        <v>209</v>
      </c>
      <c r="D33" t="s">
        <v>209</v>
      </c>
      <c r="E33" t="s">
        <v>209</v>
      </c>
      <c r="F33" t="s">
        <v>209</v>
      </c>
      <c r="G33" t="s">
        <v>209</v>
      </c>
      <c r="H33" t="s">
        <v>209</v>
      </c>
      <c r="I33" t="s">
        <v>209</v>
      </c>
      <c r="J33" t="s">
        <v>209</v>
      </c>
    </row>
  </sheetData>
  <conditionalFormatting sqref="E1:H24 E30:H1048576">
    <cfRule type="cellIs" dxfId="1" priority="7" operator="equal">
      <formula>"神话"</formula>
    </cfRule>
    <cfRule type="cellIs" dxfId="2" priority="8" operator="equal">
      <formula>"优秀"</formula>
    </cfRule>
    <cfRule type="cellIs" dxfId="3" priority="9" operator="equal">
      <formula>"稀有"</formula>
    </cfRule>
    <cfRule type="cellIs" dxfId="4" priority="10" operator="equal">
      <formula>"史诗"</formula>
    </cfRule>
    <cfRule type="cellIs" dxfId="5" priority="11" operator="equal">
      <formula>"传说"</formula>
    </cfRule>
  </conditionalFormatting>
  <conditionalFormatting sqref="E$1:H$1048576">
    <cfRule type="cellIs" dxfId="0" priority="1" operator="equal">
      <formula>"普通"</formula>
    </cfRule>
  </conditionalFormatting>
  <conditionalFormatting sqref="E25:H29">
    <cfRule type="cellIs" dxfId="5" priority="6" operator="equal">
      <formula>"传说"</formula>
    </cfRule>
    <cfRule type="cellIs" dxfId="4" priority="5" operator="equal">
      <formula>"史诗"</formula>
    </cfRule>
    <cfRule type="cellIs" dxfId="3" priority="4" operator="equal">
      <formula>"稀有"</formula>
    </cfRule>
    <cfRule type="cellIs" dxfId="2" priority="3" operator="equal">
      <formula>"优秀"</formula>
    </cfRule>
    <cfRule type="cellIs" dxfId="1" priority="2" operator="equal">
      <formula>"神话"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G24" sqref="G24"/>
    </sheetView>
  </sheetViews>
  <sheetFormatPr defaultColWidth="8.66666666666667" defaultRowHeight="17.4"/>
  <cols>
    <col min="1" max="1" width="6.91666666666667" customWidth="1"/>
    <col min="2" max="2" width="5.25" customWidth="1"/>
    <col min="3" max="3" width="12.5" customWidth="1"/>
    <col min="4" max="4" width="9.41666666666667" customWidth="1"/>
    <col min="5" max="5" width="39.75" customWidth="1"/>
    <col min="6" max="6" width="38.5" customWidth="1"/>
    <col min="7" max="7" width="16.4166666666667" customWidth="1"/>
    <col min="8" max="8" width="23.5" customWidth="1"/>
    <col min="9" max="9" width="22.5833333333333" customWidth="1"/>
    <col min="10" max="10" width="6.16666666666667" customWidth="1"/>
    <col min="11" max="11" width="19.8333333333333" customWidth="1"/>
    <col min="12" max="12" width="16.8333333333333" customWidth="1"/>
  </cols>
  <sheetData>
    <row r="1" spans="1:12">
      <c r="A1" s="3" t="s">
        <v>0</v>
      </c>
      <c r="B1" s="3" t="s">
        <v>1</v>
      </c>
      <c r="C1" s="3" t="s">
        <v>2</v>
      </c>
      <c r="D1" t="s">
        <v>8</v>
      </c>
      <c r="E1" t="s">
        <v>933</v>
      </c>
      <c r="F1" t="s">
        <v>934</v>
      </c>
      <c r="G1" t="s">
        <v>935</v>
      </c>
      <c r="H1" t="s">
        <v>936</v>
      </c>
      <c r="I1" t="s">
        <v>937</v>
      </c>
      <c r="K1" t="s">
        <v>938</v>
      </c>
      <c r="L1" t="s">
        <v>939</v>
      </c>
    </row>
    <row r="2" spans="1:12">
      <c r="A2" s="3" t="s">
        <v>28</v>
      </c>
      <c r="B2" s="3" t="s">
        <v>29</v>
      </c>
      <c r="C2" s="3" t="s">
        <v>30</v>
      </c>
      <c r="D2" t="s">
        <v>34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K2" t="s">
        <v>30</v>
      </c>
      <c r="L2" t="s">
        <v>30</v>
      </c>
    </row>
    <row r="3" s="2" customFormat="1" ht="121.8" spans="1:12">
      <c r="A3" s="4" t="s">
        <v>39</v>
      </c>
      <c r="B3" s="4"/>
      <c r="C3" s="4" t="s">
        <v>940</v>
      </c>
      <c r="D3" s="2"/>
      <c r="E3" s="2" t="s">
        <v>941</v>
      </c>
      <c r="G3" s="2" t="s">
        <v>942</v>
      </c>
      <c r="H3" s="2" t="s">
        <v>943</v>
      </c>
      <c r="I3" s="2" t="s">
        <v>942</v>
      </c>
      <c r="K3" s="2" t="s">
        <v>944</v>
      </c>
    </row>
    <row r="4" spans="1:12">
      <c r="A4" t="s">
        <v>39</v>
      </c>
      <c r="B4" t="s">
        <v>56</v>
      </c>
      <c r="C4" t="s">
        <v>57</v>
      </c>
      <c r="D4" t="s">
        <v>62</v>
      </c>
      <c r="E4" t="s">
        <v>945</v>
      </c>
      <c r="F4" t="s">
        <v>946</v>
      </c>
      <c r="G4" t="s">
        <v>947</v>
      </c>
      <c r="H4" t="s">
        <v>948</v>
      </c>
      <c r="I4" t="s">
        <v>949</v>
      </c>
      <c r="J4" t="s">
        <v>897</v>
      </c>
      <c r="K4" t="s">
        <v>950</v>
      </c>
      <c r="L4" t="s">
        <v>951</v>
      </c>
    </row>
    <row r="5" spans="1:12">
      <c r="B5">
        <v>1001</v>
      </c>
      <c r="C5" t="s">
        <v>669</v>
      </c>
      <c r="D5" t="s">
        <v>129</v>
      </c>
      <c r="E5" t="s">
        <v>952</v>
      </c>
      <c r="F5" t="s">
        <v>953</v>
      </c>
      <c r="H5" t="s">
        <v>954</v>
      </c>
      <c r="K5" t="s">
        <v>955</v>
      </c>
    </row>
    <row r="6" spans="1:12">
      <c r="B6">
        <v>1002</v>
      </c>
      <c r="C6" s="16" t="s">
        <v>675</v>
      </c>
      <c r="D6" s="16" t="s">
        <v>113</v>
      </c>
      <c r="E6" t="s">
        <v>956</v>
      </c>
      <c r="F6" t="s">
        <v>953</v>
      </c>
      <c r="H6" t="s">
        <v>957</v>
      </c>
      <c r="K6" t="s">
        <v>958</v>
      </c>
    </row>
    <row r="7" spans="1:12">
      <c r="B7">
        <v>1003</v>
      </c>
      <c r="C7" s="16" t="s">
        <v>682</v>
      </c>
      <c r="D7" s="16" t="s">
        <v>109</v>
      </c>
      <c r="E7" t="s">
        <v>959</v>
      </c>
      <c r="F7" t="s">
        <v>953</v>
      </c>
      <c r="H7" t="s">
        <v>960</v>
      </c>
      <c r="K7" t="s">
        <v>961</v>
      </c>
    </row>
    <row r="8" spans="1:12">
      <c r="B8">
        <v>1004</v>
      </c>
      <c r="C8" s="16" t="s">
        <v>689</v>
      </c>
      <c r="D8" s="16" t="s">
        <v>94</v>
      </c>
      <c r="E8" t="s">
        <v>962</v>
      </c>
      <c r="F8" t="s">
        <v>953</v>
      </c>
      <c r="H8" t="s">
        <v>963</v>
      </c>
      <c r="K8" t="s">
        <v>964</v>
      </c>
    </row>
    <row r="9" spans="1:12">
      <c r="B9">
        <v>1005</v>
      </c>
      <c r="C9" s="16" t="s">
        <v>696</v>
      </c>
      <c r="D9" s="16" t="s">
        <v>100</v>
      </c>
      <c r="E9" t="s">
        <v>965</v>
      </c>
      <c r="F9" t="s">
        <v>953</v>
      </c>
      <c r="H9" t="s">
        <v>966</v>
      </c>
      <c r="K9" t="s">
        <v>955</v>
      </c>
    </row>
    <row r="10" spans="1:12">
      <c r="B10">
        <v>1006</v>
      </c>
      <c r="C10" s="16" t="s">
        <v>703</v>
      </c>
      <c r="D10" s="16" t="s">
        <v>86</v>
      </c>
      <c r="E10" t="s">
        <v>967</v>
      </c>
      <c r="F10" t="s">
        <v>953</v>
      </c>
      <c r="H10" t="s">
        <v>968</v>
      </c>
      <c r="K10" t="s">
        <v>958</v>
      </c>
    </row>
    <row r="11" spans="1:12">
      <c r="B11">
        <v>2001</v>
      </c>
      <c r="C11" s="16" t="s">
        <v>710</v>
      </c>
      <c r="D11" s="16" t="s">
        <v>345</v>
      </c>
      <c r="E11" t="s">
        <v>967</v>
      </c>
      <c r="F11" t="s">
        <v>953</v>
      </c>
      <c r="H11" t="s">
        <v>968</v>
      </c>
      <c r="J11" t="s">
        <v>969</v>
      </c>
    </row>
    <row r="12" spans="1:12">
      <c r="B12">
        <v>2002</v>
      </c>
      <c r="C12" s="16" t="s">
        <v>717</v>
      </c>
      <c r="D12" s="16" t="s">
        <v>718</v>
      </c>
      <c r="E12" t="s">
        <v>967</v>
      </c>
      <c r="F12" t="s">
        <v>953</v>
      </c>
      <c r="H12" t="s">
        <v>968</v>
      </c>
      <c r="J12" t="s">
        <v>969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G23" sqref="G23"/>
    </sheetView>
  </sheetViews>
  <sheetFormatPr defaultColWidth="7.5" defaultRowHeight="17.4"/>
  <cols>
    <col min="1" max="1" width="6.91666666666667" customWidth="1"/>
    <col min="2" max="2" width="17.9166666666667" customWidth="1"/>
    <col min="3" max="3" width="14.5" customWidth="1"/>
    <col min="4" max="4" width="16.5" customWidth="1"/>
    <col min="5" max="5" width="12.0833333333333" customWidth="1"/>
    <col min="6" max="6" width="20.8333333333333" customWidth="1"/>
    <col min="7" max="7" width="20.0833333333333" customWidth="1"/>
    <col min="8" max="8" width="19.9166666666667" customWidth="1"/>
    <col min="9" max="9" width="13.1666666666667" customWidth="1"/>
    <col min="10" max="10" width="12.0833333333333" customWidth="1"/>
  </cols>
  <sheetData>
    <row r="1" spans="1:10">
      <c r="A1" t="s">
        <v>0</v>
      </c>
      <c r="B1" t="s">
        <v>904</v>
      </c>
      <c r="C1" t="s">
        <v>970</v>
      </c>
      <c r="D1" t="s">
        <v>971</v>
      </c>
      <c r="F1" t="s">
        <v>972</v>
      </c>
      <c r="G1" t="s">
        <v>973</v>
      </c>
      <c r="H1" t="s">
        <v>974</v>
      </c>
      <c r="I1" t="s">
        <v>975</v>
      </c>
    </row>
    <row r="2" spans="1:10">
      <c r="A2" t="s">
        <v>28</v>
      </c>
      <c r="B2" t="s">
        <v>976</v>
      </c>
      <c r="C2" t="s">
        <v>29</v>
      </c>
      <c r="D2" t="s">
        <v>977</v>
      </c>
      <c r="F2" t="s">
        <v>800</v>
      </c>
      <c r="G2" t="s">
        <v>30</v>
      </c>
      <c r="H2" t="s">
        <v>30</v>
      </c>
      <c r="I2" t="s">
        <v>29</v>
      </c>
    </row>
    <row r="3" s="2" customFormat="1" ht="198" customHeight="1" spans="1:10">
      <c r="A3" s="2" t="s">
        <v>39</v>
      </c>
      <c r="B3" s="2" t="s">
        <v>978</v>
      </c>
      <c r="C3" s="2" t="s">
        <v>979</v>
      </c>
      <c r="D3" s="2" t="s">
        <v>980</v>
      </c>
      <c r="F3" s="2" t="s">
        <v>981</v>
      </c>
      <c r="G3" s="2" t="s">
        <v>982</v>
      </c>
      <c r="H3" s="2" t="s">
        <v>983</v>
      </c>
      <c r="I3" s="2" t="s">
        <v>984</v>
      </c>
    </row>
    <row r="4" spans="1:10">
      <c r="A4" t="s">
        <v>39</v>
      </c>
      <c r="B4" t="s">
        <v>985</v>
      </c>
      <c r="C4" t="s">
        <v>986</v>
      </c>
      <c r="D4" t="s">
        <v>987</v>
      </c>
      <c r="E4" t="s">
        <v>988</v>
      </c>
      <c r="F4" t="s">
        <v>989</v>
      </c>
      <c r="G4" t="s">
        <v>990</v>
      </c>
      <c r="H4" t="s">
        <v>991</v>
      </c>
      <c r="I4" t="s">
        <v>992</v>
      </c>
      <c r="J4" t="s">
        <v>988</v>
      </c>
    </row>
    <row r="6" spans="1:10">
      <c r="B6">
        <v>9001</v>
      </c>
      <c r="C6">
        <v>30</v>
      </c>
      <c r="D6" t="s">
        <v>993</v>
      </c>
      <c r="E6" t="str">
        <f>LOOKUP(B6,Item!B:B,Item!I:I)</f>
        <v>史诗</v>
      </c>
      <c r="F6">
        <v>0.9</v>
      </c>
      <c r="G6" t="s">
        <v>994</v>
      </c>
      <c r="H6" t="s">
        <v>995</v>
      </c>
      <c r="I6">
        <v>0</v>
      </c>
      <c r="J6" t="str">
        <f>LOOKUP(B6,Item!B:B,Item!D:D)</f>
        <v>红茶</v>
      </c>
    </row>
    <row r="7" spans="1:10">
      <c r="B7">
        <v>9002</v>
      </c>
      <c r="C7">
        <v>20</v>
      </c>
      <c r="D7" t="s">
        <v>993</v>
      </c>
      <c r="E7" t="str">
        <f>LOOKUP(B7,Item!B:B,Item!I:I)</f>
        <v>稀有</v>
      </c>
      <c r="F7">
        <v>0.8</v>
      </c>
      <c r="G7" t="s">
        <v>994</v>
      </c>
      <c r="H7" t="s">
        <v>995</v>
      </c>
      <c r="I7">
        <v>0</v>
      </c>
      <c r="J7" t="str">
        <f>LOOKUP(B7,Item!B:B,Item!D:D)</f>
        <v>波尔多</v>
      </c>
    </row>
    <row r="8" spans="1:10">
      <c r="B8">
        <v>9003</v>
      </c>
      <c r="C8">
        <v>20</v>
      </c>
      <c r="D8" t="s">
        <v>993</v>
      </c>
      <c r="E8" t="str">
        <f>LOOKUP(B8,Item!B:B,Item!I:I)</f>
        <v>稀有</v>
      </c>
      <c r="F8">
        <v>0.8</v>
      </c>
      <c r="G8" t="s">
        <v>994</v>
      </c>
      <c r="H8" t="s">
        <v>995</v>
      </c>
      <c r="I8">
        <v>0</v>
      </c>
      <c r="J8" t="str">
        <f>LOOKUP(B8,Item!B:B,Item!D:D)</f>
        <v>勃艮第</v>
      </c>
    </row>
    <row r="9" spans="1:10">
      <c r="B9">
        <v>9004</v>
      </c>
      <c r="C9">
        <v>30</v>
      </c>
      <c r="D9" t="s">
        <v>993</v>
      </c>
      <c r="E9" t="str">
        <f>LOOKUP(B9,Item!B:B,Item!I:I)</f>
        <v>史诗</v>
      </c>
      <c r="F9">
        <v>0.9</v>
      </c>
      <c r="G9" t="s">
        <v>994</v>
      </c>
      <c r="H9" t="s">
        <v>995</v>
      </c>
      <c r="I9">
        <v>0</v>
      </c>
      <c r="J9" t="str">
        <f>LOOKUP(B9,Item!B:B,Item!D:D)</f>
        <v>香槟</v>
      </c>
    </row>
    <row r="10" spans="1:10">
      <c r="B10">
        <v>9005</v>
      </c>
      <c r="C10">
        <v>20</v>
      </c>
      <c r="D10" t="s">
        <v>993</v>
      </c>
      <c r="E10" t="str">
        <f>LOOKUP(B10,Item!B:B,Item!I:I)</f>
        <v>稀有</v>
      </c>
      <c r="F10">
        <v>0.8</v>
      </c>
      <c r="G10" t="s">
        <v>994</v>
      </c>
      <c r="H10" t="s">
        <v>995</v>
      </c>
      <c r="I10">
        <v>0</v>
      </c>
      <c r="J10" t="str">
        <f>LOOKUP(B10,Item!B:B,Item!D:D)</f>
        <v>子弹杯</v>
      </c>
    </row>
    <row r="11" spans="1:10">
      <c r="B11">
        <v>9006</v>
      </c>
      <c r="C11">
        <v>20</v>
      </c>
      <c r="D11" t="s">
        <v>993</v>
      </c>
      <c r="E11" t="str">
        <f>LOOKUP(B11,Item!B:B,Item!I:I)</f>
        <v>稀有</v>
      </c>
      <c r="F11">
        <v>0.8</v>
      </c>
      <c r="G11" t="s">
        <v>994</v>
      </c>
      <c r="H11" t="s">
        <v>995</v>
      </c>
      <c r="I11">
        <v>0</v>
      </c>
      <c r="J11" t="str">
        <f>LOOKUP(B11,Item!B:B,Item!D:D)</f>
        <v>郁金香杯</v>
      </c>
    </row>
    <row r="12" spans="1:10">
      <c r="B12">
        <v>9007</v>
      </c>
      <c r="C12">
        <v>20</v>
      </c>
      <c r="D12" t="s">
        <v>993</v>
      </c>
      <c r="E12" t="str">
        <f>LOOKUP(B12,Item!B:B,Item!I:I)</f>
        <v>稀有</v>
      </c>
      <c r="F12">
        <v>0.8</v>
      </c>
      <c r="G12" t="s">
        <v>994</v>
      </c>
      <c r="H12" t="s">
        <v>995</v>
      </c>
      <c r="I12">
        <v>0</v>
      </c>
      <c r="J12" t="str">
        <f>LOOKUP(B12,Item!B:B,Item!D:D)</f>
        <v>平底杯</v>
      </c>
    </row>
    <row r="13" spans="1:10">
      <c r="B13">
        <v>9008</v>
      </c>
      <c r="C13">
        <v>30</v>
      </c>
      <c r="D13" t="s">
        <v>993</v>
      </c>
      <c r="E13" t="str">
        <f>LOOKUP(B13,Item!B:B,Item!I:I)</f>
        <v>史诗</v>
      </c>
      <c r="F13">
        <v>0.9</v>
      </c>
      <c r="G13" t="s">
        <v>994</v>
      </c>
      <c r="H13" t="s">
        <v>995</v>
      </c>
      <c r="I13">
        <v>0</v>
      </c>
      <c r="J13" t="str">
        <f>LOOKUP(B13,Item!B:B,Item!D:D)</f>
        <v>年份酒</v>
      </c>
    </row>
    <row r="14" spans="1:10">
      <c r="B14">
        <v>9009</v>
      </c>
      <c r="C14">
        <v>15</v>
      </c>
      <c r="D14" t="s">
        <v>993</v>
      </c>
      <c r="E14" t="str">
        <f>LOOKUP(B14,Item!B:B,Item!I:I)</f>
        <v>优秀</v>
      </c>
      <c r="F14">
        <v>0.7</v>
      </c>
      <c r="G14" t="s">
        <v>994</v>
      </c>
      <c r="H14" t="s">
        <v>995</v>
      </c>
      <c r="I14">
        <v>0</v>
      </c>
      <c r="J14" t="str">
        <f>LOOKUP(B14,Item!B:B,Item!D:D)</f>
        <v>凉白开</v>
      </c>
    </row>
    <row r="15" spans="1:10">
      <c r="B15">
        <v>9010</v>
      </c>
      <c r="C15">
        <v>30</v>
      </c>
      <c r="D15" t="s">
        <v>993</v>
      </c>
      <c r="E15" t="str">
        <f>LOOKUP(B15,Item!B:B,Item!I:I)</f>
        <v>传说</v>
      </c>
      <c r="F15">
        <v>0.9</v>
      </c>
      <c r="G15" t="s">
        <v>994</v>
      </c>
      <c r="H15" t="s">
        <v>995</v>
      </c>
      <c r="I15">
        <v>0</v>
      </c>
      <c r="J15" t="str">
        <f>LOOKUP(B15,Item!B:B,Item!D:D)</f>
        <v>威士忌</v>
      </c>
    </row>
    <row r="16" spans="1:10">
      <c r="B16">
        <v>9011</v>
      </c>
      <c r="C16">
        <v>50</v>
      </c>
      <c r="D16" t="s">
        <v>993</v>
      </c>
      <c r="E16" t="str">
        <f>LOOKUP(B16,Item!B:B,Item!I:I)</f>
        <v>传说</v>
      </c>
      <c r="F16">
        <v>1</v>
      </c>
      <c r="G16" t="s">
        <v>994</v>
      </c>
      <c r="H16" t="s">
        <v>995</v>
      </c>
      <c r="I16">
        <v>100</v>
      </c>
      <c r="J16" t="str">
        <f>LOOKUP(B16,Item!B:B,Item!D:D)</f>
        <v>威士忌雪茄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E7" sqref="E7"/>
    </sheetView>
  </sheetViews>
  <sheetFormatPr defaultColWidth="8.66666666666667" defaultRowHeight="17.4" outlineLevelCol="4"/>
  <cols>
    <col min="3" max="3" width="13.5" customWidth="1"/>
    <col min="4" max="4" width="21.8333333333333" customWidth="1"/>
    <col min="5" max="5" width="13.25" customWidth="1"/>
  </cols>
  <sheetData>
    <row r="1" spans="1:5">
      <c r="A1" s="3" t="s">
        <v>0</v>
      </c>
      <c r="B1" s="3" t="s">
        <v>1</v>
      </c>
      <c r="C1" t="s">
        <v>996</v>
      </c>
      <c r="D1" t="s">
        <v>997</v>
      </c>
      <c r="E1" t="s">
        <v>9</v>
      </c>
    </row>
    <row r="2" spans="1:5">
      <c r="A2" s="3" t="s">
        <v>28</v>
      </c>
      <c r="B2" s="3" t="s">
        <v>29</v>
      </c>
      <c r="C2" t="s">
        <v>30</v>
      </c>
      <c r="D2" t="s">
        <v>998</v>
      </c>
      <c r="E2" t="s">
        <v>29</v>
      </c>
    </row>
    <row r="3" spans="1:5">
      <c r="A3" s="4" t="s">
        <v>39</v>
      </c>
      <c r="B3" s="4" t="s">
        <v>56</v>
      </c>
      <c r="C3" t="s">
        <v>57</v>
      </c>
      <c r="D3" t="s">
        <v>999</v>
      </c>
      <c r="E3" t="s">
        <v>1000</v>
      </c>
    </row>
    <row r="4" spans="1:5">
      <c r="B4">
        <v>1001</v>
      </c>
      <c r="C4" t="s">
        <v>84</v>
      </c>
      <c r="D4" t="s">
        <v>84</v>
      </c>
      <c r="E4">
        <v>1</v>
      </c>
    </row>
    <row r="5" spans="1:5">
      <c r="B5">
        <v>1002</v>
      </c>
      <c r="C5" t="s">
        <v>1001</v>
      </c>
      <c r="D5" t="s">
        <v>212</v>
      </c>
      <c r="E5">
        <v>2</v>
      </c>
    </row>
    <row r="6" spans="1:5">
      <c r="A6" t="s">
        <v>39</v>
      </c>
      <c r="B6">
        <v>1003</v>
      </c>
      <c r="C6" t="s">
        <v>1002</v>
      </c>
      <c r="D6" t="s">
        <v>352</v>
      </c>
      <c r="E6">
        <v>3</v>
      </c>
    </row>
    <row r="7" spans="1:5">
      <c r="B7">
        <v>1004</v>
      </c>
      <c r="C7" t="s">
        <v>1003</v>
      </c>
      <c r="D7" t="s">
        <v>539</v>
      </c>
      <c r="E7">
        <v>4</v>
      </c>
    </row>
    <row r="8" spans="1:5">
      <c r="D8" t="s">
        <v>384</v>
      </c>
    </row>
    <row r="9" spans="1:5">
      <c r="D9" t="s">
        <v>646</v>
      </c>
    </row>
    <row r="10" spans="1:5">
      <c r="B10">
        <v>1005</v>
      </c>
      <c r="C10" t="s">
        <v>1004</v>
      </c>
      <c r="D10" t="s">
        <v>417</v>
      </c>
      <c r="E10">
        <v>5</v>
      </c>
    </row>
    <row r="11" spans="1:5">
      <c r="D11" t="s">
        <v>462</v>
      </c>
    </row>
    <row r="12" spans="1:5">
      <c r="B12">
        <v>1006</v>
      </c>
      <c r="C12" t="s">
        <v>584</v>
      </c>
      <c r="D12" t="s">
        <v>584</v>
      </c>
      <c r="E12">
        <v>6</v>
      </c>
    </row>
    <row r="13" spans="1:5">
      <c r="D13" t="s">
        <v>632</v>
      </c>
    </row>
    <row r="14" spans="1:5">
      <c r="D14" t="s">
        <v>637</v>
      </c>
    </row>
    <row r="15" spans="1:5">
      <c r="D15" t="s">
        <v>358</v>
      </c>
    </row>
    <row r="22" spans="3:4">
      <c r="C22" s="16"/>
    </row>
    <row r="23" spans="3:4">
      <c r="C23" s="16"/>
    </row>
    <row r="24" spans="3:4">
      <c r="C24" s="16"/>
      <c r="D24" s="16"/>
    </row>
    <row r="25" spans="3:4">
      <c r="C25" s="16"/>
      <c r="D25" s="16"/>
    </row>
    <row r="26" spans="3:4">
      <c r="C26" s="16"/>
      <c r="D26" s="16"/>
    </row>
    <row r="27" spans="3:4">
      <c r="C27" s="16"/>
      <c r="D27" s="16"/>
    </row>
    <row r="28" spans="3:4">
      <c r="C28" s="16"/>
      <c r="D28" s="16"/>
    </row>
    <row r="29" spans="3:4">
      <c r="C29" s="16"/>
      <c r="D29" s="16"/>
    </row>
    <row r="30" spans="3:4">
      <c r="C30" s="16"/>
      <c r="D30" s="16"/>
    </row>
    <row r="31" spans="3:4">
      <c r="C31" s="16"/>
      <c r="D31" s="16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C26" sqref="C26"/>
    </sheetView>
  </sheetViews>
  <sheetFormatPr defaultColWidth="8.66666666666667" defaultRowHeight="17.4" outlineLevelCol="3"/>
  <cols>
    <col min="1" max="1" width="6.91666666666667" customWidth="1"/>
    <col min="2" max="2" width="14.6666666666667" customWidth="1"/>
    <col min="3" max="3" width="13.25" customWidth="1"/>
    <col min="4" max="4" width="14.75" customWidth="1"/>
  </cols>
  <sheetData>
    <row r="1" spans="1:4">
      <c r="A1" s="3" t="s">
        <v>0</v>
      </c>
      <c r="B1" t="s">
        <v>4</v>
      </c>
      <c r="C1" t="s">
        <v>1005</v>
      </c>
      <c r="D1" t="s">
        <v>1006</v>
      </c>
    </row>
    <row r="2" spans="1:4">
      <c r="A2" s="3" t="s">
        <v>28</v>
      </c>
      <c r="B2" s="3" t="s">
        <v>31</v>
      </c>
      <c r="C2" s="3" t="s">
        <v>30</v>
      </c>
      <c r="D2" t="s">
        <v>29</v>
      </c>
    </row>
    <row r="3" spans="1:4">
      <c r="A3" s="4" t="s">
        <v>39</v>
      </c>
      <c r="B3" s="4" t="s">
        <v>56</v>
      </c>
      <c r="C3" s="4" t="s">
        <v>1007</v>
      </c>
      <c r="D3" t="s">
        <v>1008</v>
      </c>
    </row>
    <row r="5" spans="1:4">
      <c r="B5" t="s">
        <v>84</v>
      </c>
      <c r="C5" t="b">
        <v>0</v>
      </c>
      <c r="D5">
        <v>1001</v>
      </c>
    </row>
    <row r="6" spans="1:4">
      <c r="B6" t="s">
        <v>212</v>
      </c>
      <c r="C6" t="b">
        <v>1</v>
      </c>
    </row>
    <row r="7" spans="1:4">
      <c r="A7" t="s">
        <v>39</v>
      </c>
      <c r="B7" t="s">
        <v>352</v>
      </c>
      <c r="C7" t="b">
        <v>1</v>
      </c>
    </row>
    <row r="8" spans="1:4">
      <c r="B8" t="s">
        <v>358</v>
      </c>
      <c r="C8" t="b">
        <v>0</v>
      </c>
      <c r="D8">
        <v>4003</v>
      </c>
    </row>
    <row r="9" spans="1:4">
      <c r="B9" t="s">
        <v>539</v>
      </c>
      <c r="C9" t="b">
        <v>1</v>
      </c>
    </row>
    <row r="10" spans="1:4">
      <c r="B10" t="s">
        <v>384</v>
      </c>
      <c r="C10" t="b">
        <v>1</v>
      </c>
    </row>
    <row r="11" spans="1:4">
      <c r="B11" t="s">
        <v>417</v>
      </c>
      <c r="C11" t="b">
        <v>0</v>
      </c>
      <c r="D11">
        <v>6001</v>
      </c>
    </row>
    <row r="12" spans="1:4">
      <c r="B12" t="s">
        <v>462</v>
      </c>
      <c r="C12" t="b">
        <v>0</v>
      </c>
      <c r="D12">
        <v>7004</v>
      </c>
    </row>
    <row r="13" spans="1:4">
      <c r="B13" t="s">
        <v>584</v>
      </c>
      <c r="C13" t="b">
        <v>1</v>
      </c>
    </row>
    <row r="14" spans="1:4">
      <c r="B14" t="s">
        <v>632</v>
      </c>
      <c r="C14" t="b">
        <v>0</v>
      </c>
      <c r="D14">
        <v>10001</v>
      </c>
    </row>
    <row r="15" spans="1:4">
      <c r="B15" t="s">
        <v>637</v>
      </c>
      <c r="C15" t="b">
        <v>0</v>
      </c>
      <c r="D15">
        <v>11002</v>
      </c>
    </row>
    <row r="16" spans="1:4">
      <c r="B16" t="s">
        <v>646</v>
      </c>
      <c r="C16" t="b">
        <v>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"/>
  <sheetViews>
    <sheetView topLeftCell="H1" workbookViewId="0">
      <selection activeCell="K29" sqref="K29"/>
    </sheetView>
  </sheetViews>
  <sheetFormatPr defaultColWidth="7.5" defaultRowHeight="17.4"/>
  <cols>
    <col min="1" max="1" width="6.91666666666667" customWidth="1"/>
    <col min="2" max="2" width="6.83333333333333" customWidth="1"/>
    <col min="3" max="3" width="17.4166666666667" customWidth="1"/>
    <col min="4" max="4" width="9.5" customWidth="1"/>
    <col min="5" max="5" width="10.5833333333333" customWidth="1"/>
    <col min="6" max="6" width="10.75" customWidth="1"/>
    <col min="7" max="7" width="22.25" customWidth="1"/>
    <col min="8" max="8" width="16.8333333333333" customWidth="1"/>
    <col min="9" max="9" width="36.75" customWidth="1"/>
    <col min="10" max="10" width="22.75" customWidth="1"/>
    <col min="11" max="11" width="76.5833333333333" customWidth="1"/>
    <col min="12" max="12" width="13.0833333333333" customWidth="1"/>
    <col min="13" max="13" width="21.3333333333333" customWidth="1"/>
    <col min="14" max="14" width="21.6666666666667" customWidth="1"/>
    <col min="15" max="15" width="13" customWidth="1"/>
    <col min="16" max="16" width="15.6666666666667" customWidth="1"/>
    <col min="17" max="17" width="20.0833333333333" customWidth="1"/>
    <col min="18" max="18" width="21.9166666666667" customWidth="1"/>
    <col min="19" max="19" width="22.1666666666667" customWidth="1"/>
    <col min="20" max="20" width="25.5" customWidth="1"/>
  </cols>
  <sheetData>
    <row r="1" spans="1:21">
      <c r="A1" t="s">
        <v>0</v>
      </c>
      <c r="B1" t="s">
        <v>1</v>
      </c>
      <c r="C1" t="s">
        <v>1009</v>
      </c>
      <c r="D1" t="s">
        <v>9</v>
      </c>
      <c r="E1" t="s">
        <v>1010</v>
      </c>
      <c r="F1" t="s">
        <v>795</v>
      </c>
      <c r="G1" t="s">
        <v>5</v>
      </c>
      <c r="H1" t="s">
        <v>1011</v>
      </c>
      <c r="I1" t="s">
        <v>1012</v>
      </c>
      <c r="J1" t="s">
        <v>1013</v>
      </c>
      <c r="K1" t="s">
        <v>1014</v>
      </c>
      <c r="L1" t="s">
        <v>1015</v>
      </c>
      <c r="M1" t="s">
        <v>1016</v>
      </c>
      <c r="N1" t="s">
        <v>1017</v>
      </c>
      <c r="O1" t="s">
        <v>1018</v>
      </c>
      <c r="P1" t="s">
        <v>1019</v>
      </c>
      <c r="Q1" t="s">
        <v>1020</v>
      </c>
      <c r="R1" t="s">
        <v>1021</v>
      </c>
      <c r="S1" t="s">
        <v>1022</v>
      </c>
      <c r="T1" t="s">
        <v>1023</v>
      </c>
    </row>
    <row r="2" spans="1:21">
      <c r="A2" t="s">
        <v>28</v>
      </c>
      <c r="B2" t="s">
        <v>29</v>
      </c>
      <c r="C2" t="s">
        <v>30</v>
      </c>
      <c r="D2" t="s">
        <v>29</v>
      </c>
      <c r="E2" t="s">
        <v>35</v>
      </c>
      <c r="F2" t="s">
        <v>35</v>
      </c>
      <c r="G2" t="s">
        <v>32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1024</v>
      </c>
      <c r="N2" t="s">
        <v>1025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</row>
    <row r="3" s="2" customFormat="1" ht="77" customHeight="1" spans="1:21">
      <c r="A3" s="2" t="s">
        <v>39</v>
      </c>
      <c r="B3" s="2" t="s">
        <v>1026</v>
      </c>
      <c r="C3" s="2" t="s">
        <v>1027</v>
      </c>
      <c r="D3" s="2" t="s">
        <v>1028</v>
      </c>
      <c r="E3" s="2" t="s">
        <v>1029</v>
      </c>
      <c r="F3" s="2" t="s">
        <v>1030</v>
      </c>
      <c r="G3" s="2" t="s">
        <v>1031</v>
      </c>
      <c r="H3" s="2" t="s">
        <v>1032</v>
      </c>
      <c r="I3" s="2" t="s">
        <v>1033</v>
      </c>
      <c r="J3" s="2" t="s">
        <v>1034</v>
      </c>
      <c r="K3" s="2" t="s">
        <v>1035</v>
      </c>
      <c r="L3" s="2" t="s">
        <v>1036</v>
      </c>
      <c r="M3" s="2" t="s">
        <v>1037</v>
      </c>
      <c r="N3" s="2" t="s">
        <v>1038</v>
      </c>
      <c r="O3" s="2" t="s">
        <v>1039</v>
      </c>
      <c r="P3" s="2" t="s">
        <v>1040</v>
      </c>
      <c r="Q3" s="2" t="s">
        <v>1041</v>
      </c>
      <c r="R3" s="2" t="s">
        <v>1042</v>
      </c>
      <c r="S3" s="2" t="s">
        <v>1043</v>
      </c>
      <c r="T3" s="2" t="s">
        <v>1044</v>
      </c>
    </row>
    <row r="4" spans="1:21">
      <c r="A4" t="s">
        <v>39</v>
      </c>
      <c r="B4" t="s">
        <v>1045</v>
      </c>
      <c r="C4" t="s">
        <v>1046</v>
      </c>
      <c r="D4" t="s">
        <v>1047</v>
      </c>
      <c r="E4" t="s">
        <v>1048</v>
      </c>
      <c r="F4" t="s">
        <v>1049</v>
      </c>
      <c r="G4" t="s">
        <v>60</v>
      </c>
      <c r="H4" t="s">
        <v>1050</v>
      </c>
      <c r="I4" t="s">
        <v>1051</v>
      </c>
      <c r="J4" t="s">
        <v>1052</v>
      </c>
      <c r="K4" t="s">
        <v>1053</v>
      </c>
      <c r="L4" t="s">
        <v>1054</v>
      </c>
      <c r="M4" t="s">
        <v>1055</v>
      </c>
      <c r="N4" t="s">
        <v>1056</v>
      </c>
      <c r="O4" t="s">
        <v>1057</v>
      </c>
      <c r="P4" t="s">
        <v>1058</v>
      </c>
      <c r="Q4" t="s">
        <v>1059</v>
      </c>
      <c r="R4" t="s">
        <v>1060</v>
      </c>
      <c r="S4" t="s">
        <v>1061</v>
      </c>
      <c r="T4" t="s">
        <v>1062</v>
      </c>
      <c r="U4" t="s">
        <v>897</v>
      </c>
    </row>
    <row r="5" spans="1:21">
      <c r="B5">
        <v>1001</v>
      </c>
      <c r="C5" t="s">
        <v>1063</v>
      </c>
      <c r="D5">
        <v>30</v>
      </c>
      <c r="E5" t="b">
        <v>0</v>
      </c>
      <c r="F5" t="b">
        <v>0</v>
      </c>
      <c r="H5" t="s">
        <v>1064</v>
      </c>
      <c r="I5" t="s">
        <v>1065</v>
      </c>
      <c r="J5" t="s">
        <v>1066</v>
      </c>
      <c r="K5" t="s">
        <v>1067</v>
      </c>
      <c r="L5" t="s">
        <v>1068</v>
      </c>
      <c r="M5" t="s">
        <v>1069</v>
      </c>
      <c r="N5" t="s">
        <v>1070</v>
      </c>
      <c r="O5">
        <v>92005</v>
      </c>
      <c r="P5">
        <v>0</v>
      </c>
      <c r="Q5">
        <v>0</v>
      </c>
      <c r="U5" t="s">
        <v>1071</v>
      </c>
    </row>
    <row r="6" spans="1:21">
      <c r="B6">
        <v>1002</v>
      </c>
      <c r="C6" t="s">
        <v>1072</v>
      </c>
      <c r="D6">
        <v>10</v>
      </c>
      <c r="E6" t="b">
        <v>1</v>
      </c>
      <c r="F6" t="b">
        <v>0</v>
      </c>
      <c r="H6" t="s">
        <v>1073</v>
      </c>
      <c r="I6" t="s">
        <v>1074</v>
      </c>
      <c r="J6" t="s">
        <v>1066</v>
      </c>
      <c r="K6" t="s">
        <v>1075</v>
      </c>
      <c r="L6" t="s">
        <v>1075</v>
      </c>
      <c r="M6" t="s">
        <v>1069</v>
      </c>
      <c r="N6" t="s">
        <v>1076</v>
      </c>
      <c r="O6">
        <v>0</v>
      </c>
      <c r="P6">
        <v>2500</v>
      </c>
      <c r="Q6">
        <v>0</v>
      </c>
      <c r="U6" t="s">
        <v>1071</v>
      </c>
    </row>
    <row r="7" spans="1:21">
      <c r="B7">
        <v>1003</v>
      </c>
      <c r="C7" t="s">
        <v>1077</v>
      </c>
      <c r="D7">
        <v>20</v>
      </c>
      <c r="E7" t="b">
        <v>0</v>
      </c>
      <c r="F7" t="b">
        <v>0</v>
      </c>
      <c r="H7" t="s">
        <v>1078</v>
      </c>
      <c r="I7" t="s">
        <v>1079</v>
      </c>
      <c r="J7" t="s">
        <v>1066</v>
      </c>
      <c r="K7" t="s">
        <v>1080</v>
      </c>
      <c r="L7" t="s">
        <v>1081</v>
      </c>
      <c r="M7" t="s">
        <v>1069</v>
      </c>
      <c r="N7" t="s">
        <v>1076</v>
      </c>
      <c r="O7">
        <v>0</v>
      </c>
      <c r="P7">
        <v>2500</v>
      </c>
      <c r="Q7">
        <v>0</v>
      </c>
      <c r="U7" t="s">
        <v>1071</v>
      </c>
    </row>
    <row r="8" spans="1:21">
      <c r="B8">
        <v>1004</v>
      </c>
      <c r="C8" t="s">
        <v>1082</v>
      </c>
      <c r="D8">
        <v>40</v>
      </c>
      <c r="E8" t="b">
        <v>0</v>
      </c>
      <c r="F8" t="b">
        <v>0</v>
      </c>
      <c r="H8" t="s">
        <v>1083</v>
      </c>
      <c r="I8" t="s">
        <v>1084</v>
      </c>
      <c r="J8" t="s">
        <v>1066</v>
      </c>
      <c r="K8" t="s">
        <v>1085</v>
      </c>
      <c r="L8" t="s">
        <v>1085</v>
      </c>
      <c r="M8" t="s">
        <v>1069</v>
      </c>
      <c r="N8" t="s">
        <v>1070</v>
      </c>
      <c r="O8">
        <v>91012</v>
      </c>
      <c r="P8">
        <v>0</v>
      </c>
      <c r="Q8">
        <v>0</v>
      </c>
      <c r="U8" t="s">
        <v>1071</v>
      </c>
    </row>
    <row r="9" customFormat="1" spans="1:21">
      <c r="B9">
        <v>1005</v>
      </c>
      <c r="C9" t="s">
        <v>1063</v>
      </c>
      <c r="D9">
        <v>60</v>
      </c>
      <c r="E9" t="b">
        <v>0</v>
      </c>
      <c r="F9" t="b">
        <v>0</v>
      </c>
      <c r="H9" t="s">
        <v>1064</v>
      </c>
      <c r="I9" t="s">
        <v>1065</v>
      </c>
      <c r="J9" t="s">
        <v>1066</v>
      </c>
      <c r="K9" t="s">
        <v>1067</v>
      </c>
      <c r="L9" t="s">
        <v>1068</v>
      </c>
      <c r="M9" t="s">
        <v>1069</v>
      </c>
      <c r="N9" t="s">
        <v>1070</v>
      </c>
      <c r="O9">
        <v>92005</v>
      </c>
      <c r="P9">
        <v>0</v>
      </c>
      <c r="Q9">
        <v>0</v>
      </c>
      <c r="U9" t="s">
        <v>1071</v>
      </c>
    </row>
    <row r="10" customFormat="1" spans="1:21">
      <c r="B10">
        <v>1006</v>
      </c>
      <c r="C10" t="s">
        <v>1072</v>
      </c>
      <c r="D10">
        <v>80</v>
      </c>
      <c r="E10" t="b">
        <v>1</v>
      </c>
      <c r="F10" t="b">
        <v>1</v>
      </c>
      <c r="G10" t="s">
        <v>93</v>
      </c>
      <c r="H10" t="s">
        <v>1073</v>
      </c>
      <c r="I10" t="s">
        <v>1074</v>
      </c>
      <c r="J10" t="s">
        <v>1066</v>
      </c>
      <c r="K10" t="s">
        <v>1075</v>
      </c>
      <c r="L10" t="s">
        <v>1075</v>
      </c>
      <c r="M10" t="s">
        <v>1069</v>
      </c>
      <c r="N10" t="s">
        <v>1076</v>
      </c>
      <c r="O10">
        <v>0</v>
      </c>
      <c r="P10">
        <v>2500</v>
      </c>
      <c r="Q10">
        <v>0</v>
      </c>
      <c r="S10">
        <v>501002</v>
      </c>
      <c r="T10">
        <v>601002</v>
      </c>
    </row>
    <row r="11" customFormat="1" spans="1:21">
      <c r="B11">
        <v>1007</v>
      </c>
      <c r="C11" t="s">
        <v>1077</v>
      </c>
      <c r="D11">
        <v>100</v>
      </c>
      <c r="E11" t="b">
        <v>0</v>
      </c>
      <c r="F11" t="b">
        <v>1</v>
      </c>
      <c r="G11" t="s">
        <v>93</v>
      </c>
      <c r="H11" t="s">
        <v>1078</v>
      </c>
      <c r="I11" t="s">
        <v>1079</v>
      </c>
      <c r="J11" t="s">
        <v>1066</v>
      </c>
      <c r="K11" t="s">
        <v>1080</v>
      </c>
      <c r="L11" t="s">
        <v>1081</v>
      </c>
      <c r="M11" t="s">
        <v>1069</v>
      </c>
      <c r="N11" t="s">
        <v>1076</v>
      </c>
      <c r="O11">
        <v>0</v>
      </c>
      <c r="P11">
        <v>2500</v>
      </c>
      <c r="Q11">
        <v>0</v>
      </c>
      <c r="S11">
        <v>501003</v>
      </c>
      <c r="T11">
        <v>601003</v>
      </c>
    </row>
    <row r="12" customFormat="1" spans="1:21">
      <c r="B12">
        <v>1008</v>
      </c>
      <c r="C12" t="s">
        <v>1082</v>
      </c>
      <c r="D12">
        <v>120</v>
      </c>
      <c r="E12" t="b">
        <v>0</v>
      </c>
      <c r="F12" t="b">
        <v>0</v>
      </c>
      <c r="H12" t="s">
        <v>1083</v>
      </c>
      <c r="I12" t="s">
        <v>1084</v>
      </c>
      <c r="J12" t="s">
        <v>1066</v>
      </c>
      <c r="K12" t="s">
        <v>1085</v>
      </c>
      <c r="L12" t="s">
        <v>1085</v>
      </c>
      <c r="M12" t="s">
        <v>1069</v>
      </c>
      <c r="N12" t="s">
        <v>1070</v>
      </c>
      <c r="O12">
        <v>0</v>
      </c>
      <c r="P12">
        <v>0</v>
      </c>
      <c r="Q12">
        <v>0</v>
      </c>
      <c r="U12" t="s">
        <v>1071</v>
      </c>
    </row>
    <row r="13" customFormat="1" spans="1:21">
      <c r="B13">
        <v>1009</v>
      </c>
      <c r="C13" t="s">
        <v>1063</v>
      </c>
      <c r="D13">
        <v>60</v>
      </c>
      <c r="E13" t="b">
        <v>0</v>
      </c>
      <c r="F13" t="b">
        <v>1</v>
      </c>
      <c r="G13" t="s">
        <v>93</v>
      </c>
      <c r="H13" t="s">
        <v>1064</v>
      </c>
      <c r="I13" t="s">
        <v>1065</v>
      </c>
      <c r="J13" t="s">
        <v>1066</v>
      </c>
      <c r="K13" t="s">
        <v>1067</v>
      </c>
      <c r="L13" t="s">
        <v>1068</v>
      </c>
      <c r="M13" t="s">
        <v>1069</v>
      </c>
      <c r="N13" t="s">
        <v>1070</v>
      </c>
      <c r="O13">
        <v>52001</v>
      </c>
      <c r="P13">
        <v>0</v>
      </c>
      <c r="Q13">
        <v>0</v>
      </c>
      <c r="S13">
        <v>501005</v>
      </c>
      <c r="T13">
        <v>601005</v>
      </c>
    </row>
    <row r="14" customFormat="1" spans="1:21">
      <c r="B14">
        <v>1010</v>
      </c>
      <c r="C14" t="s">
        <v>1082</v>
      </c>
      <c r="D14">
        <v>120</v>
      </c>
      <c r="E14" t="b">
        <v>0</v>
      </c>
      <c r="F14" t="b">
        <v>0</v>
      </c>
      <c r="H14" t="s">
        <v>1083</v>
      </c>
      <c r="I14" t="s">
        <v>1084</v>
      </c>
      <c r="J14" t="s">
        <v>1066</v>
      </c>
      <c r="K14" t="s">
        <v>1085</v>
      </c>
      <c r="L14" t="s">
        <v>1085</v>
      </c>
      <c r="M14" t="s">
        <v>1069</v>
      </c>
      <c r="N14" t="s">
        <v>1070</v>
      </c>
      <c r="O14">
        <v>0</v>
      </c>
      <c r="P14">
        <v>0</v>
      </c>
      <c r="Q14">
        <v>0</v>
      </c>
      <c r="U14" t="s">
        <v>1071</v>
      </c>
    </row>
    <row r="15" customFormat="1" spans="1:21">
      <c r="B15">
        <v>1011</v>
      </c>
      <c r="C15" t="s">
        <v>1082</v>
      </c>
      <c r="D15">
        <v>120</v>
      </c>
      <c r="E15" t="b">
        <v>0</v>
      </c>
      <c r="F15" t="b">
        <v>1</v>
      </c>
      <c r="G15" t="s">
        <v>93</v>
      </c>
      <c r="H15" t="s">
        <v>1083</v>
      </c>
      <c r="I15" t="s">
        <v>1084</v>
      </c>
      <c r="J15" t="s">
        <v>1066</v>
      </c>
      <c r="K15" t="s">
        <v>1085</v>
      </c>
      <c r="L15" t="s">
        <v>1085</v>
      </c>
      <c r="M15" t="s">
        <v>1069</v>
      </c>
      <c r="N15" t="s">
        <v>1070</v>
      </c>
      <c r="O15">
        <v>51001</v>
      </c>
      <c r="P15">
        <v>0</v>
      </c>
      <c r="Q15">
        <v>0</v>
      </c>
      <c r="S15">
        <v>501007</v>
      </c>
      <c r="T15">
        <v>601007</v>
      </c>
    </row>
    <row r="16" spans="1:21">
      <c r="B16">
        <v>410001</v>
      </c>
      <c r="C16" t="s">
        <v>1086</v>
      </c>
      <c r="D16">
        <v>2000</v>
      </c>
      <c r="E16" t="b">
        <v>0</v>
      </c>
      <c r="F16" t="b">
        <v>1</v>
      </c>
      <c r="G16" t="s">
        <v>836</v>
      </c>
      <c r="H16" t="s">
        <v>1087</v>
      </c>
      <c r="I16" t="s">
        <v>1088</v>
      </c>
      <c r="J16" t="s">
        <v>1066</v>
      </c>
      <c r="K16" t="s">
        <v>1085</v>
      </c>
      <c r="L16" t="s">
        <v>1085</v>
      </c>
      <c r="M16" t="s">
        <v>1069</v>
      </c>
      <c r="N16" t="s">
        <v>1070</v>
      </c>
      <c r="O16">
        <v>51001</v>
      </c>
      <c r="P16">
        <v>0</v>
      </c>
      <c r="Q16">
        <v>0</v>
      </c>
      <c r="S16">
        <v>410001</v>
      </c>
      <c r="T16">
        <v>410101</v>
      </c>
    </row>
    <row r="17" spans="2:20">
      <c r="B17">
        <v>410002</v>
      </c>
      <c r="C17" t="s">
        <v>1089</v>
      </c>
      <c r="D17">
        <v>2000</v>
      </c>
      <c r="E17" t="b">
        <v>0</v>
      </c>
      <c r="F17" t="b">
        <v>1</v>
      </c>
      <c r="G17" t="s">
        <v>836</v>
      </c>
      <c r="H17" t="s">
        <v>1087</v>
      </c>
      <c r="I17" t="s">
        <v>1088</v>
      </c>
      <c r="J17" t="s">
        <v>1066</v>
      </c>
      <c r="K17" t="s">
        <v>1085</v>
      </c>
      <c r="L17" t="s">
        <v>1085</v>
      </c>
      <c r="M17" t="s">
        <v>1069</v>
      </c>
      <c r="N17" t="s">
        <v>1070</v>
      </c>
      <c r="O17">
        <v>51001</v>
      </c>
      <c r="P17">
        <v>0</v>
      </c>
      <c r="Q17">
        <v>0</v>
      </c>
      <c r="S17">
        <v>410002</v>
      </c>
      <c r="T17">
        <v>410102</v>
      </c>
    </row>
    <row r="18" spans="2:20">
      <c r="B18">
        <v>410003</v>
      </c>
      <c r="C18" t="s">
        <v>1090</v>
      </c>
      <c r="D18">
        <v>2000</v>
      </c>
      <c r="E18" t="b">
        <v>0</v>
      </c>
      <c r="F18" t="b">
        <v>1</v>
      </c>
      <c r="G18" t="s">
        <v>836</v>
      </c>
      <c r="H18" t="s">
        <v>1087</v>
      </c>
      <c r="I18" t="s">
        <v>1088</v>
      </c>
      <c r="J18" t="s">
        <v>1066</v>
      </c>
      <c r="K18" t="s">
        <v>1085</v>
      </c>
      <c r="L18" t="s">
        <v>1085</v>
      </c>
      <c r="M18" t="s">
        <v>1069</v>
      </c>
      <c r="N18" t="s">
        <v>1070</v>
      </c>
      <c r="O18">
        <v>51001</v>
      </c>
      <c r="P18">
        <v>0</v>
      </c>
      <c r="Q18">
        <v>0</v>
      </c>
      <c r="S18">
        <v>410003</v>
      </c>
      <c r="T18">
        <v>410103</v>
      </c>
    </row>
    <row r="19" spans="2:20">
      <c r="B19">
        <v>410004</v>
      </c>
      <c r="C19" t="s">
        <v>1091</v>
      </c>
      <c r="D19">
        <v>2000</v>
      </c>
      <c r="E19" t="b">
        <v>0</v>
      </c>
      <c r="F19" t="b">
        <v>1</v>
      </c>
      <c r="G19" t="s">
        <v>836</v>
      </c>
      <c r="H19" t="s">
        <v>1087</v>
      </c>
      <c r="I19" t="s">
        <v>1088</v>
      </c>
      <c r="J19" t="s">
        <v>1066</v>
      </c>
      <c r="K19" t="s">
        <v>1085</v>
      </c>
      <c r="L19" t="s">
        <v>1085</v>
      </c>
      <c r="M19" t="s">
        <v>1069</v>
      </c>
      <c r="N19" t="s">
        <v>1070</v>
      </c>
      <c r="O19">
        <v>51001</v>
      </c>
      <c r="P19">
        <v>0</v>
      </c>
      <c r="Q19">
        <v>0</v>
      </c>
      <c r="S19">
        <v>410004</v>
      </c>
      <c r="T19">
        <v>410104</v>
      </c>
    </row>
    <row r="20" customFormat="1" spans="2:20">
      <c r="B20">
        <v>2001</v>
      </c>
      <c r="C20" t="s">
        <v>1063</v>
      </c>
      <c r="D20">
        <v>30</v>
      </c>
      <c r="E20" t="b">
        <v>0</v>
      </c>
      <c r="F20" t="b">
        <v>1</v>
      </c>
      <c r="G20" t="s">
        <v>832</v>
      </c>
      <c r="H20" t="s">
        <v>1064</v>
      </c>
      <c r="I20" t="s">
        <v>1065</v>
      </c>
      <c r="J20" t="s">
        <v>1066</v>
      </c>
      <c r="K20" t="s">
        <v>1067</v>
      </c>
      <c r="L20" t="s">
        <v>1068</v>
      </c>
      <c r="M20" t="s">
        <v>1069</v>
      </c>
      <c r="N20" t="s">
        <v>1070</v>
      </c>
      <c r="O20">
        <v>9001</v>
      </c>
      <c r="P20">
        <v>0</v>
      </c>
      <c r="Q20">
        <v>0</v>
      </c>
    </row>
    <row r="21" customFormat="1" spans="2:20">
      <c r="B21">
        <v>2002</v>
      </c>
      <c r="C21" t="s">
        <v>1072</v>
      </c>
      <c r="D21">
        <v>10</v>
      </c>
      <c r="E21" t="b">
        <v>1</v>
      </c>
      <c r="F21" t="b">
        <v>1</v>
      </c>
      <c r="G21" t="s">
        <v>832</v>
      </c>
      <c r="H21" t="s">
        <v>1073</v>
      </c>
      <c r="I21" t="s">
        <v>1074</v>
      </c>
      <c r="J21" t="s">
        <v>1066</v>
      </c>
      <c r="K21" t="s">
        <v>1092</v>
      </c>
      <c r="L21" t="s">
        <v>1075</v>
      </c>
      <c r="M21" t="s">
        <v>1069</v>
      </c>
      <c r="N21" t="s">
        <v>1070</v>
      </c>
      <c r="O21">
        <v>9001</v>
      </c>
      <c r="P21">
        <v>0</v>
      </c>
      <c r="Q21">
        <v>0</v>
      </c>
    </row>
    <row r="22" customFormat="1" spans="2:20">
      <c r="B22">
        <v>2003</v>
      </c>
      <c r="C22" t="s">
        <v>1077</v>
      </c>
      <c r="D22">
        <v>20</v>
      </c>
      <c r="E22" t="b">
        <v>0</v>
      </c>
      <c r="F22" t="b">
        <v>1</v>
      </c>
      <c r="G22" t="s">
        <v>832</v>
      </c>
      <c r="H22" t="s">
        <v>1078</v>
      </c>
      <c r="I22" t="s">
        <v>1079</v>
      </c>
      <c r="J22" t="s">
        <v>1066</v>
      </c>
      <c r="K22" t="s">
        <v>1093</v>
      </c>
      <c r="L22" t="s">
        <v>1081</v>
      </c>
      <c r="M22" t="s">
        <v>1069</v>
      </c>
      <c r="N22" t="s">
        <v>1070</v>
      </c>
      <c r="O22">
        <v>9001</v>
      </c>
      <c r="P22">
        <v>0</v>
      </c>
      <c r="Q22">
        <v>0</v>
      </c>
    </row>
    <row r="23" customFormat="1" spans="2:20">
      <c r="B23">
        <v>2004</v>
      </c>
      <c r="C23" t="s">
        <v>1082</v>
      </c>
      <c r="D23">
        <v>40</v>
      </c>
      <c r="E23" t="b">
        <v>0</v>
      </c>
      <c r="F23" t="b">
        <v>1</v>
      </c>
      <c r="G23" t="s">
        <v>832</v>
      </c>
      <c r="H23" t="s">
        <v>1083</v>
      </c>
      <c r="I23" t="s">
        <v>1084</v>
      </c>
      <c r="J23" t="s">
        <v>1066</v>
      </c>
      <c r="K23" t="s">
        <v>1085</v>
      </c>
      <c r="L23" t="s">
        <v>1085</v>
      </c>
      <c r="M23" t="s">
        <v>1069</v>
      </c>
      <c r="N23" t="s">
        <v>1070</v>
      </c>
      <c r="O23">
        <v>9001</v>
      </c>
      <c r="P23">
        <v>0</v>
      </c>
      <c r="Q23">
        <v>0</v>
      </c>
    </row>
    <row r="24" spans="2:20">
      <c r="G24" s="16"/>
    </row>
    <row r="25" spans="2:20">
      <c r="G25" s="16"/>
    </row>
  </sheetData>
  <conditionalFormatting sqref="F15">
    <cfRule type="containsText" dxfId="13" priority="2" operator="between" text="FALSE">
      <formula>NOT(ISERROR(SEARCH("FALSE",F15)))</formula>
    </cfRule>
  </conditionalFormatting>
  <conditionalFormatting sqref="F1:F14 F16:F1048576">
    <cfRule type="containsText" dxfId="13" priority="3" operator="between" text="FALSE">
      <formula>NOT(ISERROR(SEARCH("FALSE",F1)))</formula>
    </cfRule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4"/>
  <sheetViews>
    <sheetView topLeftCell="A28" workbookViewId="0">
      <selection activeCell="C28" sqref="C28"/>
    </sheetView>
  </sheetViews>
  <sheetFormatPr defaultColWidth="27" defaultRowHeight="17.4"/>
  <cols>
    <col min="1" max="1" width="6.91666666666667" customWidth="1"/>
    <col min="2" max="2" width="18.4166666666667" customWidth="1"/>
    <col min="3" max="3" width="38.4166666666667" customWidth="1"/>
    <col min="4" max="4" width="27" customWidth="1"/>
    <col min="5" max="5" width="18.0833333333333" customWidth="1"/>
    <col min="6" max="6" width="32.5" customWidth="1"/>
    <col min="7" max="7" width="48.0833333333333" customWidth="1"/>
    <col min="8" max="8" width="19.8333333333333" customWidth="1"/>
    <col min="9" max="9" width="15.3333333333333" customWidth="1"/>
    <col min="10" max="10" width="12" customWidth="1"/>
    <col min="11" max="11" width="12.0833333333333" customWidth="1"/>
    <col min="12" max="12" width="15.3333333333333" customWidth="1"/>
    <col min="13" max="13" width="13.5833333333333" customWidth="1"/>
    <col min="14" max="14" width="10.8333333333333" customWidth="1"/>
    <col min="15" max="15" width="18.0833333333333" customWidth="1"/>
    <col min="16" max="16" width="14.5" customWidth="1"/>
    <col min="17" max="16384" width="27" customWidth="1"/>
  </cols>
  <sheetData>
    <row r="1" spans="1:18">
      <c r="A1" t="s">
        <v>0</v>
      </c>
      <c r="B1" t="s">
        <v>1</v>
      </c>
      <c r="C1" t="s">
        <v>1009</v>
      </c>
      <c r="E1" t="s">
        <v>1094</v>
      </c>
      <c r="F1" t="s">
        <v>2</v>
      </c>
      <c r="G1" t="s">
        <v>1095</v>
      </c>
      <c r="H1" t="s">
        <v>1096</v>
      </c>
      <c r="I1" t="s">
        <v>1097</v>
      </c>
      <c r="J1" t="s">
        <v>1098</v>
      </c>
      <c r="K1" t="s">
        <v>1099</v>
      </c>
      <c r="L1" t="s">
        <v>1100</v>
      </c>
      <c r="M1" t="s">
        <v>1101</v>
      </c>
      <c r="N1" t="s">
        <v>1102</v>
      </c>
      <c r="O1" t="s">
        <v>1103</v>
      </c>
      <c r="P1" t="s">
        <v>795</v>
      </c>
      <c r="Q1" t="s">
        <v>1104</v>
      </c>
      <c r="R1" t="s">
        <v>1105</v>
      </c>
    </row>
    <row r="2" spans="1:18">
      <c r="A2" t="s">
        <v>28</v>
      </c>
      <c r="B2" t="s">
        <v>29</v>
      </c>
      <c r="C2" t="s">
        <v>30</v>
      </c>
      <c r="E2" t="s">
        <v>38</v>
      </c>
      <c r="F2" t="s">
        <v>30</v>
      </c>
      <c r="G2" t="s">
        <v>30</v>
      </c>
      <c r="H2" t="s">
        <v>30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30</v>
      </c>
      <c r="P2" t="s">
        <v>35</v>
      </c>
      <c r="Q2" t="s">
        <v>35</v>
      </c>
      <c r="R2" t="s">
        <v>29</v>
      </c>
    </row>
    <row r="3" s="2" customFormat="1" ht="72" customHeight="1" spans="1:18">
      <c r="A3" s="2" t="s">
        <v>39</v>
      </c>
      <c r="B3" s="2" t="s">
        <v>1106</v>
      </c>
      <c r="C3" s="2" t="s">
        <v>1107</v>
      </c>
      <c r="E3" s="2" t="s">
        <v>1108</v>
      </c>
      <c r="F3" s="14" t="s">
        <v>1109</v>
      </c>
      <c r="G3" s="2" t="s">
        <v>49</v>
      </c>
      <c r="H3" s="15" t="s">
        <v>1110</v>
      </c>
      <c r="I3" s="2" t="s">
        <v>1111</v>
      </c>
      <c r="J3" s="2" t="s">
        <v>1112</v>
      </c>
      <c r="K3" s="2" t="s">
        <v>1113</v>
      </c>
      <c r="L3" s="2" t="s">
        <v>1114</v>
      </c>
      <c r="M3" s="2" t="s">
        <v>1115</v>
      </c>
      <c r="N3" s="2" t="s">
        <v>1116</v>
      </c>
      <c r="O3" s="2" t="s">
        <v>1117</v>
      </c>
      <c r="P3" s="2" t="s">
        <v>1118</v>
      </c>
      <c r="Q3" s="2" t="s">
        <v>1119</v>
      </c>
      <c r="R3" s="2" t="s">
        <v>1120</v>
      </c>
    </row>
    <row r="4" spans="1:18">
      <c r="A4" t="s">
        <v>39</v>
      </c>
      <c r="B4" t="s">
        <v>1121</v>
      </c>
      <c r="C4" t="s">
        <v>1046</v>
      </c>
      <c r="D4" t="s">
        <v>1122</v>
      </c>
      <c r="E4" t="s">
        <v>1123</v>
      </c>
      <c r="F4" t="s">
        <v>1124</v>
      </c>
      <c r="G4" t="s">
        <v>72</v>
      </c>
      <c r="H4" t="s">
        <v>1125</v>
      </c>
      <c r="I4" t="s">
        <v>1126</v>
      </c>
      <c r="J4" t="s">
        <v>74</v>
      </c>
      <c r="K4" t="s">
        <v>1127</v>
      </c>
      <c r="L4" t="s">
        <v>1128</v>
      </c>
      <c r="M4" t="s">
        <v>1129</v>
      </c>
      <c r="N4" t="s">
        <v>76</v>
      </c>
      <c r="O4" t="s">
        <v>1130</v>
      </c>
      <c r="P4" t="s">
        <v>1049</v>
      </c>
      <c r="Q4" t="s">
        <v>1131</v>
      </c>
      <c r="R4" t="s">
        <v>1132</v>
      </c>
    </row>
    <row r="5" spans="1:18">
      <c r="A5" t="s">
        <v>209</v>
      </c>
      <c r="B5">
        <v>401001</v>
      </c>
      <c r="C5" t="s">
        <v>1133</v>
      </c>
      <c r="D5" t="s">
        <v>1134</v>
      </c>
      <c r="E5" t="s">
        <v>90</v>
      </c>
      <c r="F5" t="s">
        <v>1135</v>
      </c>
      <c r="G5" t="s">
        <v>1136</v>
      </c>
      <c r="H5" t="s">
        <v>1137</v>
      </c>
      <c r="I5" t="b">
        <v>1</v>
      </c>
      <c r="J5" t="b">
        <v>0</v>
      </c>
      <c r="K5" t="b">
        <v>0</v>
      </c>
      <c r="L5" t="b">
        <v>1</v>
      </c>
      <c r="M5" t="b">
        <v>1</v>
      </c>
      <c r="N5" t="b">
        <v>0</v>
      </c>
      <c r="O5" t="s">
        <v>209</v>
      </c>
      <c r="P5" t="b">
        <v>1</v>
      </c>
      <c r="Q5" t="b">
        <v>0</v>
      </c>
      <c r="R5">
        <v>0</v>
      </c>
    </row>
    <row r="6" spans="1:18">
      <c r="A6" t="s">
        <v>209</v>
      </c>
      <c r="B6">
        <v>401002</v>
      </c>
      <c r="C6" t="s">
        <v>1138</v>
      </c>
      <c r="D6" t="s">
        <v>1139</v>
      </c>
      <c r="E6" t="s">
        <v>90</v>
      </c>
      <c r="F6" t="s">
        <v>1140</v>
      </c>
      <c r="G6" t="s">
        <v>1141</v>
      </c>
      <c r="H6" t="s">
        <v>1137</v>
      </c>
      <c r="I6" t="b">
        <v>1</v>
      </c>
      <c r="J6" t="b">
        <v>0</v>
      </c>
      <c r="K6" t="b">
        <v>0</v>
      </c>
      <c r="L6" t="b">
        <v>1</v>
      </c>
      <c r="M6" t="b">
        <v>1</v>
      </c>
      <c r="N6" t="b">
        <v>0</v>
      </c>
      <c r="O6" t="s">
        <v>209</v>
      </c>
      <c r="P6" t="b">
        <v>1</v>
      </c>
      <c r="Q6" t="b">
        <v>0</v>
      </c>
      <c r="R6">
        <v>0</v>
      </c>
    </row>
    <row r="7" spans="1:18">
      <c r="A7" t="s">
        <v>209</v>
      </c>
      <c r="B7">
        <v>401003</v>
      </c>
      <c r="C7" t="s">
        <v>1142</v>
      </c>
      <c r="D7" t="s">
        <v>1143</v>
      </c>
      <c r="E7" t="s">
        <v>90</v>
      </c>
      <c r="F7" t="s">
        <v>1144</v>
      </c>
      <c r="G7" t="s">
        <v>1145</v>
      </c>
      <c r="H7" t="s">
        <v>1137</v>
      </c>
      <c r="I7" t="b">
        <v>1</v>
      </c>
      <c r="J7" t="b">
        <v>0</v>
      </c>
      <c r="K7" t="b">
        <v>0</v>
      </c>
      <c r="L7" t="b">
        <v>1</v>
      </c>
      <c r="M7" t="b">
        <v>1</v>
      </c>
      <c r="N7" t="b">
        <v>0</v>
      </c>
      <c r="O7" t="s">
        <v>209</v>
      </c>
      <c r="P7" t="b">
        <v>1</v>
      </c>
      <c r="Q7" t="b">
        <v>0</v>
      </c>
      <c r="R7">
        <v>0</v>
      </c>
    </row>
    <row r="8" spans="1:18">
      <c r="A8" t="s">
        <v>209</v>
      </c>
      <c r="B8">
        <v>401004</v>
      </c>
      <c r="C8" t="s">
        <v>1146</v>
      </c>
      <c r="D8" t="s">
        <v>1147</v>
      </c>
      <c r="E8" t="s">
        <v>90</v>
      </c>
      <c r="F8" t="s">
        <v>1148</v>
      </c>
      <c r="G8" t="s">
        <v>1149</v>
      </c>
      <c r="H8" t="s">
        <v>1137</v>
      </c>
      <c r="I8" t="b">
        <v>1</v>
      </c>
      <c r="J8" t="b">
        <v>0</v>
      </c>
      <c r="K8" t="b">
        <v>0</v>
      </c>
      <c r="L8" t="b">
        <v>1</v>
      </c>
      <c r="M8" t="b">
        <v>1</v>
      </c>
      <c r="N8" t="b">
        <v>0</v>
      </c>
      <c r="O8" t="s">
        <v>209</v>
      </c>
      <c r="P8" t="b">
        <v>1</v>
      </c>
      <c r="Q8" t="b">
        <v>0</v>
      </c>
      <c r="R8">
        <v>0</v>
      </c>
    </row>
    <row r="9" customFormat="1" spans="1:18">
      <c r="A9" t="s">
        <v>209</v>
      </c>
      <c r="B9">
        <v>401005</v>
      </c>
      <c r="C9" t="s">
        <v>1150</v>
      </c>
      <c r="D9" t="s">
        <v>1151</v>
      </c>
      <c r="E9" t="s">
        <v>90</v>
      </c>
      <c r="F9" t="s">
        <v>1135</v>
      </c>
      <c r="G9" t="s">
        <v>1136</v>
      </c>
      <c r="H9" t="s">
        <v>1137</v>
      </c>
      <c r="I9" t="b">
        <v>1</v>
      </c>
      <c r="J9" t="b">
        <v>0</v>
      </c>
      <c r="K9" t="b">
        <v>0</v>
      </c>
      <c r="L9" t="b">
        <v>1</v>
      </c>
      <c r="M9" t="b">
        <v>1</v>
      </c>
      <c r="N9" t="b">
        <v>0</v>
      </c>
      <c r="O9" t="s">
        <v>209</v>
      </c>
      <c r="P9" t="b">
        <v>1</v>
      </c>
      <c r="Q9" t="b">
        <v>0</v>
      </c>
      <c r="R9">
        <v>0</v>
      </c>
    </row>
    <row r="10" customFormat="1" spans="1:18">
      <c r="A10" t="s">
        <v>209</v>
      </c>
      <c r="B10">
        <v>401006</v>
      </c>
      <c r="C10" t="s">
        <v>1152</v>
      </c>
      <c r="D10" t="s">
        <v>1153</v>
      </c>
      <c r="E10" t="s">
        <v>90</v>
      </c>
      <c r="F10" t="s">
        <v>1140</v>
      </c>
      <c r="G10" t="s">
        <v>1141</v>
      </c>
      <c r="H10" t="s">
        <v>1137</v>
      </c>
      <c r="I10" t="b">
        <v>1</v>
      </c>
      <c r="J10" t="b">
        <v>0</v>
      </c>
      <c r="K10" t="b">
        <v>0</v>
      </c>
      <c r="L10" t="b">
        <v>1</v>
      </c>
      <c r="M10" t="b">
        <v>1</v>
      </c>
      <c r="N10" t="b">
        <v>0</v>
      </c>
      <c r="O10" t="s">
        <v>209</v>
      </c>
      <c r="P10" t="b">
        <v>1</v>
      </c>
      <c r="Q10" t="b">
        <v>0</v>
      </c>
      <c r="R10">
        <v>0</v>
      </c>
    </row>
    <row r="11" customFormat="1" spans="1:18">
      <c r="A11" t="s">
        <v>209</v>
      </c>
      <c r="B11">
        <v>401007</v>
      </c>
      <c r="C11" t="s">
        <v>1154</v>
      </c>
      <c r="D11" t="s">
        <v>1155</v>
      </c>
      <c r="E11" t="s">
        <v>90</v>
      </c>
      <c r="F11" t="s">
        <v>1144</v>
      </c>
      <c r="G11" t="s">
        <v>1145</v>
      </c>
      <c r="H11" t="s">
        <v>1137</v>
      </c>
      <c r="I11" t="b">
        <v>1</v>
      </c>
      <c r="J11" t="b">
        <v>0</v>
      </c>
      <c r="K11" t="b">
        <v>0</v>
      </c>
      <c r="L11" t="b">
        <v>1</v>
      </c>
      <c r="M11" t="b">
        <v>1</v>
      </c>
      <c r="N11" t="b">
        <v>0</v>
      </c>
      <c r="O11" t="s">
        <v>209</v>
      </c>
      <c r="P11" t="b">
        <v>1</v>
      </c>
      <c r="Q11" t="b">
        <v>0</v>
      </c>
      <c r="R11">
        <v>0</v>
      </c>
    </row>
    <row r="12" customFormat="1" spans="1:18">
      <c r="A12" t="s">
        <v>209</v>
      </c>
      <c r="B12">
        <v>401008</v>
      </c>
      <c r="C12" t="s">
        <v>1156</v>
      </c>
      <c r="D12" t="s">
        <v>1157</v>
      </c>
      <c r="E12" t="s">
        <v>90</v>
      </c>
      <c r="F12" t="s">
        <v>1148</v>
      </c>
      <c r="G12" t="s">
        <v>1149</v>
      </c>
      <c r="H12" t="s">
        <v>1137</v>
      </c>
      <c r="I12" t="b">
        <v>1</v>
      </c>
      <c r="J12" t="b">
        <v>0</v>
      </c>
      <c r="K12" t="b">
        <v>0</v>
      </c>
      <c r="L12" t="b">
        <v>1</v>
      </c>
      <c r="M12" t="b">
        <v>1</v>
      </c>
      <c r="N12" t="b">
        <v>0</v>
      </c>
      <c r="O12" t="s">
        <v>209</v>
      </c>
      <c r="P12" t="b">
        <v>1</v>
      </c>
      <c r="Q12" t="b">
        <v>0</v>
      </c>
      <c r="R12">
        <v>0</v>
      </c>
    </row>
    <row r="13" customFormat="1" spans="1:18">
      <c r="A13" t="s">
        <v>209</v>
      </c>
      <c r="B13">
        <v>410001</v>
      </c>
      <c r="C13" t="s">
        <v>1158</v>
      </c>
      <c r="D13" t="s">
        <v>1159</v>
      </c>
      <c r="E13" t="s">
        <v>90</v>
      </c>
      <c r="F13" t="s">
        <v>1160</v>
      </c>
      <c r="G13" t="s">
        <v>1161</v>
      </c>
      <c r="H13" t="s">
        <v>1137</v>
      </c>
      <c r="I13" t="b">
        <v>1</v>
      </c>
      <c r="J13" t="b">
        <v>0</v>
      </c>
      <c r="K13" t="b">
        <v>0</v>
      </c>
      <c r="L13" t="b">
        <v>1</v>
      </c>
      <c r="M13" t="b">
        <v>1</v>
      </c>
      <c r="N13" t="b">
        <v>0</v>
      </c>
      <c r="O13" t="s">
        <v>209</v>
      </c>
      <c r="P13" t="b">
        <v>1</v>
      </c>
      <c r="Q13" t="b">
        <v>0</v>
      </c>
      <c r="R13">
        <v>0</v>
      </c>
    </row>
    <row r="14" customFormat="1" spans="1:18">
      <c r="B14">
        <v>410002</v>
      </c>
      <c r="C14" t="s">
        <v>1162</v>
      </c>
      <c r="D14" t="s">
        <v>1163</v>
      </c>
      <c r="E14" t="s">
        <v>90</v>
      </c>
      <c r="F14" t="s">
        <v>1164</v>
      </c>
      <c r="G14" t="s">
        <v>1165</v>
      </c>
      <c r="H14" t="s">
        <v>1137</v>
      </c>
      <c r="I14" t="b">
        <v>1</v>
      </c>
      <c r="J14" t="b">
        <v>0</v>
      </c>
      <c r="K14" t="b">
        <v>0</v>
      </c>
      <c r="L14" t="b">
        <v>1</v>
      </c>
      <c r="M14" t="b">
        <v>1</v>
      </c>
      <c r="N14" t="b">
        <v>0</v>
      </c>
      <c r="P14" t="b">
        <v>1</v>
      </c>
      <c r="Q14" t="b">
        <v>0</v>
      </c>
      <c r="R14">
        <v>0</v>
      </c>
    </row>
    <row r="15" customFormat="1" spans="1:18">
      <c r="B15">
        <v>410003</v>
      </c>
      <c r="C15" t="s">
        <v>1166</v>
      </c>
      <c r="D15" t="s">
        <v>1167</v>
      </c>
      <c r="E15" t="s">
        <v>90</v>
      </c>
      <c r="F15" t="s">
        <v>1168</v>
      </c>
      <c r="G15" t="s">
        <v>1169</v>
      </c>
      <c r="H15" t="s">
        <v>1137</v>
      </c>
      <c r="I15" t="b">
        <v>1</v>
      </c>
      <c r="J15" t="b">
        <v>0</v>
      </c>
      <c r="K15" t="b">
        <v>0</v>
      </c>
      <c r="L15" t="b">
        <v>1</v>
      </c>
      <c r="M15" t="b">
        <v>1</v>
      </c>
      <c r="N15" t="b">
        <v>0</v>
      </c>
      <c r="P15" t="b">
        <v>1</v>
      </c>
      <c r="Q15" t="b">
        <v>0</v>
      </c>
      <c r="R15">
        <v>0</v>
      </c>
    </row>
    <row r="16" customFormat="1" spans="1:18">
      <c r="B16">
        <v>410004</v>
      </c>
      <c r="C16" t="s">
        <v>1170</v>
      </c>
      <c r="D16" t="s">
        <v>1171</v>
      </c>
      <c r="E16" t="s">
        <v>90</v>
      </c>
      <c r="F16" t="s">
        <v>1172</v>
      </c>
      <c r="G16" t="s">
        <v>1173</v>
      </c>
      <c r="H16" t="s">
        <v>1137</v>
      </c>
      <c r="I16" t="b">
        <v>1</v>
      </c>
      <c r="J16" t="b">
        <v>0</v>
      </c>
      <c r="K16" t="b">
        <v>0</v>
      </c>
      <c r="L16" t="b">
        <v>1</v>
      </c>
      <c r="M16" t="b">
        <v>1</v>
      </c>
      <c r="N16" t="b">
        <v>0</v>
      </c>
      <c r="P16" t="b">
        <v>1</v>
      </c>
      <c r="Q16" t="b">
        <v>0</v>
      </c>
      <c r="R16">
        <v>0</v>
      </c>
    </row>
    <row r="17" customFormat="1" spans="1:18">
      <c r="A17" t="s">
        <v>209</v>
      </c>
      <c r="B17">
        <v>410101</v>
      </c>
      <c r="C17" t="s">
        <v>1174</v>
      </c>
      <c r="D17" t="s">
        <v>1175</v>
      </c>
      <c r="E17" t="s">
        <v>1103</v>
      </c>
      <c r="F17" t="s">
        <v>1176</v>
      </c>
      <c r="G17" t="s">
        <v>1177</v>
      </c>
      <c r="H17" t="s">
        <v>1137</v>
      </c>
      <c r="I17" t="b">
        <v>1</v>
      </c>
      <c r="J17" t="b">
        <v>0</v>
      </c>
      <c r="K17" t="b">
        <v>0</v>
      </c>
      <c r="L17" t="b">
        <v>1</v>
      </c>
      <c r="M17" t="b">
        <v>1</v>
      </c>
      <c r="N17" t="b">
        <v>0</v>
      </c>
      <c r="O17" t="s">
        <v>1178</v>
      </c>
      <c r="P17" t="b">
        <v>1</v>
      </c>
      <c r="Q17" t="b">
        <v>0</v>
      </c>
      <c r="R17">
        <v>0</v>
      </c>
    </row>
    <row r="18" customFormat="1" spans="1:18">
      <c r="B18">
        <v>410102</v>
      </c>
      <c r="C18" t="s">
        <v>1179</v>
      </c>
      <c r="D18" t="s">
        <v>1175</v>
      </c>
      <c r="E18" t="s">
        <v>1103</v>
      </c>
      <c r="F18" t="s">
        <v>1180</v>
      </c>
      <c r="G18" t="s">
        <v>1181</v>
      </c>
      <c r="H18" t="s">
        <v>1137</v>
      </c>
      <c r="I18" t="b">
        <v>1</v>
      </c>
      <c r="J18" t="b">
        <v>0</v>
      </c>
      <c r="K18" t="b">
        <v>0</v>
      </c>
      <c r="L18" t="b">
        <v>1</v>
      </c>
      <c r="M18" t="b">
        <v>1</v>
      </c>
      <c r="N18" t="b">
        <v>0</v>
      </c>
      <c r="O18" t="s">
        <v>1182</v>
      </c>
      <c r="P18" t="b">
        <v>1</v>
      </c>
      <c r="Q18" t="b">
        <v>0</v>
      </c>
      <c r="R18">
        <v>0</v>
      </c>
    </row>
    <row r="19" customFormat="1" spans="1:18">
      <c r="B19">
        <v>410103</v>
      </c>
      <c r="C19" t="s">
        <v>1183</v>
      </c>
      <c r="D19" t="s">
        <v>1175</v>
      </c>
      <c r="E19" t="s">
        <v>1103</v>
      </c>
      <c r="F19" t="s">
        <v>1184</v>
      </c>
      <c r="G19" t="s">
        <v>1185</v>
      </c>
      <c r="H19" t="s">
        <v>1137</v>
      </c>
      <c r="I19" t="b">
        <v>1</v>
      </c>
      <c r="J19" t="b">
        <v>0</v>
      </c>
      <c r="K19" t="b">
        <v>0</v>
      </c>
      <c r="L19" t="b">
        <v>1</v>
      </c>
      <c r="M19" t="b">
        <v>1</v>
      </c>
      <c r="N19" t="b">
        <v>0</v>
      </c>
      <c r="O19" t="s">
        <v>1186</v>
      </c>
      <c r="P19" t="b">
        <v>1</v>
      </c>
      <c r="Q19" t="b">
        <v>0</v>
      </c>
      <c r="R19">
        <v>0</v>
      </c>
    </row>
    <row r="20" customFormat="1" spans="1:18">
      <c r="B20">
        <v>410104</v>
      </c>
      <c r="C20" t="s">
        <v>1187</v>
      </c>
      <c r="D20" t="s">
        <v>1175</v>
      </c>
      <c r="E20" t="s">
        <v>1103</v>
      </c>
      <c r="F20" t="s">
        <v>1188</v>
      </c>
      <c r="G20" t="s">
        <v>1189</v>
      </c>
      <c r="H20" t="s">
        <v>1137</v>
      </c>
      <c r="I20" t="b">
        <v>1</v>
      </c>
      <c r="J20" t="b">
        <v>0</v>
      </c>
      <c r="K20" t="b">
        <v>0</v>
      </c>
      <c r="L20" t="b">
        <v>1</v>
      </c>
      <c r="M20" t="b">
        <v>1</v>
      </c>
      <c r="N20" t="b">
        <v>0</v>
      </c>
      <c r="O20" t="s">
        <v>1190</v>
      </c>
      <c r="P20" t="b">
        <v>1</v>
      </c>
      <c r="Q20" t="b">
        <v>0</v>
      </c>
      <c r="R20">
        <v>0</v>
      </c>
    </row>
    <row r="21" spans="1:18">
      <c r="A21" t="s">
        <v>39</v>
      </c>
      <c r="B21" t="s">
        <v>1191</v>
      </c>
    </row>
    <row r="22" spans="1:18">
      <c r="A22" t="s">
        <v>209</v>
      </c>
      <c r="B22">
        <v>402001</v>
      </c>
      <c r="C22" t="s">
        <v>1192</v>
      </c>
      <c r="D22" t="s">
        <v>1193</v>
      </c>
      <c r="E22" t="s">
        <v>90</v>
      </c>
      <c r="F22" t="s">
        <v>1194</v>
      </c>
      <c r="G22" t="s">
        <v>1195</v>
      </c>
      <c r="I22" t="b">
        <v>0</v>
      </c>
      <c r="J22" t="b">
        <v>0</v>
      </c>
      <c r="K22" t="b">
        <v>0</v>
      </c>
      <c r="L22" t="b">
        <v>1</v>
      </c>
      <c r="M22" t="b">
        <v>1</v>
      </c>
      <c r="N22" t="b">
        <v>1</v>
      </c>
      <c r="O22" t="s">
        <v>209</v>
      </c>
      <c r="P22" t="b">
        <v>1</v>
      </c>
      <c r="Q22" t="b">
        <v>0</v>
      </c>
      <c r="R22">
        <v>0</v>
      </c>
    </row>
    <row r="23" spans="1:18">
      <c r="B23">
        <v>402002</v>
      </c>
      <c r="C23" t="s">
        <v>1196</v>
      </c>
      <c r="D23" t="s">
        <v>1197</v>
      </c>
      <c r="E23" t="s">
        <v>90</v>
      </c>
      <c r="F23" t="s">
        <v>1198</v>
      </c>
      <c r="G23" t="s">
        <v>1199</v>
      </c>
      <c r="I23" t="b">
        <v>0</v>
      </c>
      <c r="J23" t="b">
        <v>0</v>
      </c>
      <c r="K23" t="b">
        <v>0</v>
      </c>
      <c r="L23" t="b">
        <v>1</v>
      </c>
      <c r="M23" t="b">
        <v>1</v>
      </c>
      <c r="N23" t="b">
        <v>1</v>
      </c>
      <c r="P23" t="b">
        <v>1</v>
      </c>
      <c r="Q23" t="b">
        <v>0</v>
      </c>
      <c r="R23">
        <v>0</v>
      </c>
    </row>
    <row r="24" spans="1:18">
      <c r="B24">
        <v>402003</v>
      </c>
      <c r="C24" t="s">
        <v>1200</v>
      </c>
      <c r="D24" t="s">
        <v>1201</v>
      </c>
      <c r="E24" t="s">
        <v>90</v>
      </c>
      <c r="F24" t="s">
        <v>1202</v>
      </c>
      <c r="G24" t="s">
        <v>1203</v>
      </c>
      <c r="I24" t="b">
        <v>0</v>
      </c>
      <c r="J24" t="b">
        <v>0</v>
      </c>
      <c r="K24" t="b">
        <v>0</v>
      </c>
      <c r="L24" t="b">
        <v>1</v>
      </c>
      <c r="M24" t="b">
        <v>1</v>
      </c>
      <c r="N24" t="b">
        <v>1</v>
      </c>
      <c r="P24" t="b">
        <v>1</v>
      </c>
      <c r="Q24" t="b">
        <v>0</v>
      </c>
      <c r="R24">
        <v>0</v>
      </c>
    </row>
    <row r="25" spans="1:18">
      <c r="A25" t="s">
        <v>39</v>
      </c>
      <c r="B25" t="s">
        <v>1204</v>
      </c>
    </row>
    <row r="26" spans="1:18">
      <c r="A26" t="s">
        <v>209</v>
      </c>
      <c r="B26">
        <v>403001</v>
      </c>
      <c r="C26" t="s">
        <v>1205</v>
      </c>
      <c r="D26" t="s">
        <v>1206</v>
      </c>
      <c r="E26" t="s">
        <v>1207</v>
      </c>
      <c r="F26" t="s">
        <v>1208</v>
      </c>
      <c r="G26" t="s">
        <v>1209</v>
      </c>
      <c r="H26" t="s">
        <v>209</v>
      </c>
      <c r="I26" t="b">
        <v>0</v>
      </c>
      <c r="J26" t="b">
        <v>0</v>
      </c>
      <c r="K26" t="b">
        <v>0</v>
      </c>
      <c r="L26" t="b">
        <v>1</v>
      </c>
      <c r="M26" t="b">
        <v>1</v>
      </c>
      <c r="N26" t="b">
        <v>0</v>
      </c>
      <c r="O26" t="s">
        <v>1210</v>
      </c>
      <c r="P26" t="b">
        <v>1</v>
      </c>
      <c r="Q26" t="b">
        <v>0</v>
      </c>
      <c r="R26">
        <v>0</v>
      </c>
    </row>
    <row r="27" spans="1:18">
      <c r="B27">
        <v>403002</v>
      </c>
      <c r="C27" t="s">
        <v>1211</v>
      </c>
      <c r="D27" t="s">
        <v>1212</v>
      </c>
      <c r="E27" t="s">
        <v>1207</v>
      </c>
      <c r="F27" t="s">
        <v>1213</v>
      </c>
      <c r="G27" t="s">
        <v>1214</v>
      </c>
      <c r="I27" t="b">
        <v>0</v>
      </c>
      <c r="J27" t="b">
        <v>0</v>
      </c>
      <c r="K27" t="b">
        <v>0</v>
      </c>
      <c r="L27" t="b">
        <v>1</v>
      </c>
      <c r="M27" t="b">
        <v>1</v>
      </c>
      <c r="N27" t="b">
        <v>0</v>
      </c>
      <c r="O27" t="s">
        <v>1215</v>
      </c>
      <c r="P27" t="b">
        <v>0</v>
      </c>
      <c r="Q27" t="b">
        <v>0</v>
      </c>
      <c r="R27">
        <v>0</v>
      </c>
    </row>
    <row r="28" spans="1:18">
      <c r="B28">
        <v>403003</v>
      </c>
      <c r="C28" t="s">
        <v>1216</v>
      </c>
      <c r="D28" t="s">
        <v>1217</v>
      </c>
      <c r="E28" t="s">
        <v>1207</v>
      </c>
      <c r="F28" t="s">
        <v>1218</v>
      </c>
      <c r="G28" t="s">
        <v>1219</v>
      </c>
      <c r="I28" t="b">
        <v>0</v>
      </c>
      <c r="J28" t="b">
        <v>0</v>
      </c>
      <c r="K28" t="b">
        <v>0</v>
      </c>
      <c r="L28" t="b">
        <v>1</v>
      </c>
      <c r="M28" t="b">
        <v>1</v>
      </c>
      <c r="N28" t="b">
        <v>0</v>
      </c>
      <c r="O28" t="s">
        <v>1215</v>
      </c>
      <c r="P28" t="b">
        <v>0</v>
      </c>
      <c r="Q28" t="b">
        <v>0</v>
      </c>
      <c r="R28">
        <v>0</v>
      </c>
    </row>
    <row r="29" spans="1:18">
      <c r="A29" t="s">
        <v>39</v>
      </c>
      <c r="B29" t="s">
        <v>1220</v>
      </c>
    </row>
    <row r="30" spans="1:18">
      <c r="B30">
        <v>404001</v>
      </c>
      <c r="C30" t="s">
        <v>1221</v>
      </c>
      <c r="D30" t="s">
        <v>1222</v>
      </c>
      <c r="E30" t="s">
        <v>775</v>
      </c>
      <c r="F30" t="s">
        <v>1223</v>
      </c>
      <c r="G30" t="s">
        <v>1224</v>
      </c>
      <c r="I30" t="b">
        <v>0</v>
      </c>
      <c r="J30" t="b">
        <v>0</v>
      </c>
      <c r="K30" t="b">
        <v>0</v>
      </c>
      <c r="L30" t="b">
        <v>1</v>
      </c>
      <c r="M30" t="b">
        <v>1</v>
      </c>
      <c r="N30" t="b">
        <v>0</v>
      </c>
      <c r="O30" t="s">
        <v>1225</v>
      </c>
      <c r="P30" t="b">
        <v>1</v>
      </c>
      <c r="Q30" t="b">
        <v>1</v>
      </c>
      <c r="R30">
        <v>0</v>
      </c>
    </row>
    <row r="31" spans="1:18">
      <c r="B31">
        <v>404002</v>
      </c>
      <c r="C31" t="s">
        <v>1226</v>
      </c>
      <c r="D31" t="s">
        <v>1227</v>
      </c>
      <c r="E31" t="s">
        <v>775</v>
      </c>
      <c r="F31" t="s">
        <v>1228</v>
      </c>
      <c r="G31" t="s">
        <v>1229</v>
      </c>
      <c r="I31" t="b">
        <v>0</v>
      </c>
      <c r="J31" t="b">
        <v>0</v>
      </c>
      <c r="K31" t="b">
        <v>0</v>
      </c>
      <c r="L31" t="b">
        <v>1</v>
      </c>
      <c r="M31" t="b">
        <v>1</v>
      </c>
      <c r="N31" t="b">
        <v>0</v>
      </c>
      <c r="O31" t="s">
        <v>1230</v>
      </c>
      <c r="P31" t="b">
        <v>1</v>
      </c>
      <c r="Q31" t="b">
        <v>1</v>
      </c>
      <c r="R31">
        <v>0</v>
      </c>
    </row>
    <row r="32" spans="1:18">
      <c r="B32">
        <v>404004</v>
      </c>
      <c r="C32" t="s">
        <v>1231</v>
      </c>
      <c r="D32" t="s">
        <v>1232</v>
      </c>
      <c r="E32" t="s">
        <v>775</v>
      </c>
      <c r="F32" t="s">
        <v>1233</v>
      </c>
      <c r="G32" t="s">
        <v>1234</v>
      </c>
      <c r="I32" t="b">
        <v>0</v>
      </c>
      <c r="J32" t="b">
        <v>0</v>
      </c>
      <c r="K32" t="b">
        <v>0</v>
      </c>
      <c r="L32" t="b">
        <v>1</v>
      </c>
      <c r="M32" t="b">
        <v>1</v>
      </c>
      <c r="N32" t="b">
        <v>0</v>
      </c>
      <c r="O32" t="s">
        <v>1235</v>
      </c>
      <c r="P32" t="b">
        <v>1</v>
      </c>
      <c r="Q32" t="b">
        <v>1</v>
      </c>
      <c r="R32">
        <v>0</v>
      </c>
    </row>
    <row r="33" spans="1:18">
      <c r="B33">
        <v>404005</v>
      </c>
      <c r="C33" t="s">
        <v>1236</v>
      </c>
      <c r="D33" t="s">
        <v>1237</v>
      </c>
      <c r="E33" t="s">
        <v>775</v>
      </c>
      <c r="F33" t="s">
        <v>1238</v>
      </c>
      <c r="G33" t="s">
        <v>1239</v>
      </c>
      <c r="I33" t="b">
        <v>0</v>
      </c>
      <c r="J33" t="b">
        <v>0</v>
      </c>
      <c r="K33" t="b">
        <v>0</v>
      </c>
      <c r="L33" t="b">
        <v>1</v>
      </c>
      <c r="M33" t="b">
        <v>1</v>
      </c>
      <c r="N33" t="b">
        <v>0</v>
      </c>
      <c r="O33" t="s">
        <v>1230</v>
      </c>
      <c r="P33" t="b">
        <v>1</v>
      </c>
      <c r="Q33" t="b">
        <v>1</v>
      </c>
      <c r="R33">
        <v>0</v>
      </c>
    </row>
    <row r="34" spans="1:18">
      <c r="B34">
        <v>404007</v>
      </c>
      <c r="C34" t="s">
        <v>1240</v>
      </c>
      <c r="D34" t="s">
        <v>1241</v>
      </c>
      <c r="E34" t="s">
        <v>775</v>
      </c>
      <c r="F34" t="s">
        <v>1242</v>
      </c>
      <c r="G34" t="s">
        <v>1243</v>
      </c>
      <c r="I34" t="b">
        <v>0</v>
      </c>
      <c r="J34" t="b">
        <v>0</v>
      </c>
      <c r="K34" t="b">
        <v>0</v>
      </c>
      <c r="L34" t="b">
        <v>1</v>
      </c>
      <c r="M34" t="b">
        <v>1</v>
      </c>
      <c r="N34" t="b">
        <v>0</v>
      </c>
      <c r="O34" t="s">
        <v>1235</v>
      </c>
      <c r="P34" t="b">
        <v>1</v>
      </c>
      <c r="Q34" t="b">
        <v>1</v>
      </c>
      <c r="R34">
        <v>0</v>
      </c>
    </row>
    <row r="35" spans="1:18">
      <c r="B35">
        <v>404008</v>
      </c>
      <c r="C35" t="s">
        <v>1244</v>
      </c>
      <c r="D35" t="s">
        <v>1245</v>
      </c>
      <c r="E35" t="s">
        <v>775</v>
      </c>
      <c r="F35" t="s">
        <v>1246</v>
      </c>
      <c r="G35" t="s">
        <v>1247</v>
      </c>
      <c r="I35" t="b">
        <v>0</v>
      </c>
      <c r="J35" t="b">
        <v>0</v>
      </c>
      <c r="K35" t="b">
        <v>0</v>
      </c>
      <c r="L35" t="b">
        <v>1</v>
      </c>
      <c r="M35" t="b">
        <v>1</v>
      </c>
      <c r="N35" t="b">
        <v>0</v>
      </c>
      <c r="O35" t="s">
        <v>1230</v>
      </c>
      <c r="P35" t="b">
        <v>1</v>
      </c>
      <c r="Q35" t="b">
        <v>1</v>
      </c>
      <c r="R35">
        <v>0</v>
      </c>
    </row>
    <row r="36" spans="1:18">
      <c r="B36">
        <v>404010</v>
      </c>
      <c r="C36" t="s">
        <v>1248</v>
      </c>
      <c r="D36" t="s">
        <v>1249</v>
      </c>
      <c r="E36" t="s">
        <v>775</v>
      </c>
      <c r="F36" t="s">
        <v>1250</v>
      </c>
      <c r="G36" t="s">
        <v>1251</v>
      </c>
      <c r="I36" t="b">
        <v>0</v>
      </c>
      <c r="J36" t="b">
        <v>0</v>
      </c>
      <c r="K36" t="b">
        <v>0</v>
      </c>
      <c r="L36" t="b">
        <v>1</v>
      </c>
      <c r="M36" t="b">
        <v>1</v>
      </c>
      <c r="N36" t="b">
        <v>0</v>
      </c>
      <c r="O36" t="s">
        <v>1235</v>
      </c>
      <c r="P36" t="b">
        <v>1</v>
      </c>
      <c r="Q36" t="b">
        <v>1</v>
      </c>
      <c r="R36">
        <v>0</v>
      </c>
    </row>
    <row r="37" spans="1:18">
      <c r="B37">
        <v>404011</v>
      </c>
      <c r="C37" t="s">
        <v>1252</v>
      </c>
      <c r="D37" t="s">
        <v>1253</v>
      </c>
      <c r="E37" t="s">
        <v>775</v>
      </c>
      <c r="F37" t="s">
        <v>1254</v>
      </c>
      <c r="G37" t="s">
        <v>1255</v>
      </c>
      <c r="I37" t="b">
        <v>0</v>
      </c>
      <c r="J37" t="b">
        <v>0</v>
      </c>
      <c r="K37" t="b">
        <v>0</v>
      </c>
      <c r="L37" t="b">
        <v>1</v>
      </c>
      <c r="M37" t="b">
        <v>1</v>
      </c>
      <c r="N37" t="b">
        <v>0</v>
      </c>
      <c r="O37" t="s">
        <v>1230</v>
      </c>
      <c r="P37" t="b">
        <v>1</v>
      </c>
      <c r="Q37" t="b">
        <v>1</v>
      </c>
      <c r="R37">
        <v>0</v>
      </c>
    </row>
    <row r="38" spans="1:18">
      <c r="B38">
        <v>404013</v>
      </c>
      <c r="C38" t="s">
        <v>1256</v>
      </c>
      <c r="D38" t="s">
        <v>1257</v>
      </c>
      <c r="E38" t="s">
        <v>775</v>
      </c>
      <c r="F38" t="s">
        <v>1258</v>
      </c>
      <c r="G38" t="s">
        <v>1259</v>
      </c>
      <c r="I38" t="b">
        <v>0</v>
      </c>
      <c r="J38" t="b">
        <v>0</v>
      </c>
      <c r="K38" t="b">
        <v>0</v>
      </c>
      <c r="L38" t="b">
        <v>1</v>
      </c>
      <c r="M38" t="b">
        <v>1</v>
      </c>
      <c r="N38" t="b">
        <v>0</v>
      </c>
      <c r="O38" t="s">
        <v>1235</v>
      </c>
      <c r="P38" t="b">
        <v>1</v>
      </c>
      <c r="Q38" t="b">
        <v>1</v>
      </c>
      <c r="R38">
        <v>0</v>
      </c>
    </row>
    <row r="39" spans="1:18">
      <c r="A39" t="s">
        <v>39</v>
      </c>
      <c r="B39" t="s">
        <v>1260</v>
      </c>
    </row>
    <row r="40" spans="1:18">
      <c r="B40">
        <v>405001</v>
      </c>
      <c r="C40" t="s">
        <v>1261</v>
      </c>
      <c r="D40" t="s">
        <v>1262</v>
      </c>
      <c r="E40" t="s">
        <v>775</v>
      </c>
      <c r="F40" t="s">
        <v>1263</v>
      </c>
      <c r="G40" t="s">
        <v>1264</v>
      </c>
      <c r="I40" t="b">
        <v>0</v>
      </c>
      <c r="J40" t="b">
        <v>0</v>
      </c>
      <c r="K40" t="b">
        <v>0</v>
      </c>
      <c r="L40" t="b">
        <v>1</v>
      </c>
      <c r="M40" t="b">
        <v>1</v>
      </c>
      <c r="N40" t="b">
        <v>0</v>
      </c>
      <c r="O40" t="s">
        <v>1235</v>
      </c>
      <c r="P40" t="b">
        <v>1</v>
      </c>
      <c r="Q40" t="b">
        <v>1</v>
      </c>
      <c r="R40">
        <v>0</v>
      </c>
    </row>
    <row r="41" spans="1:18">
      <c r="A41" t="s">
        <v>39</v>
      </c>
      <c r="B41" t="s">
        <v>1265</v>
      </c>
    </row>
    <row r="42" spans="1:18">
      <c r="B42">
        <v>406005</v>
      </c>
      <c r="C42" t="s">
        <v>1266</v>
      </c>
      <c r="D42" t="s">
        <v>1267</v>
      </c>
      <c r="E42" t="s">
        <v>1103</v>
      </c>
      <c r="F42" t="s">
        <v>1268</v>
      </c>
      <c r="G42" t="s">
        <v>1269</v>
      </c>
      <c r="H42" t="s">
        <v>1137</v>
      </c>
      <c r="I42" t="b">
        <v>1</v>
      </c>
      <c r="J42" t="b">
        <v>0</v>
      </c>
      <c r="K42" t="b">
        <v>0</v>
      </c>
      <c r="L42" t="b">
        <v>1</v>
      </c>
      <c r="M42" t="b">
        <v>1</v>
      </c>
      <c r="N42" t="b">
        <v>0</v>
      </c>
      <c r="O42" t="s">
        <v>1270</v>
      </c>
      <c r="P42" t="b">
        <v>1</v>
      </c>
      <c r="Q42" t="b">
        <v>0</v>
      </c>
      <c r="R42">
        <v>0</v>
      </c>
    </row>
    <row r="43" spans="1:18">
      <c r="B43">
        <v>406006</v>
      </c>
      <c r="C43" t="s">
        <v>1271</v>
      </c>
      <c r="D43" t="s">
        <v>1272</v>
      </c>
      <c r="E43" t="s">
        <v>1103</v>
      </c>
      <c r="F43" t="s">
        <v>1273</v>
      </c>
      <c r="G43" t="s">
        <v>1274</v>
      </c>
      <c r="H43" t="s">
        <v>1137</v>
      </c>
      <c r="I43" t="b">
        <v>1</v>
      </c>
      <c r="J43" t="b">
        <v>0</v>
      </c>
      <c r="K43" t="b">
        <v>0</v>
      </c>
      <c r="L43" t="b">
        <v>1</v>
      </c>
      <c r="M43" t="b">
        <v>1</v>
      </c>
      <c r="N43" t="b">
        <v>0</v>
      </c>
      <c r="O43" t="s">
        <v>1275</v>
      </c>
      <c r="P43" t="b">
        <v>1</v>
      </c>
      <c r="Q43" t="b">
        <v>0</v>
      </c>
      <c r="R43">
        <v>0</v>
      </c>
    </row>
    <row r="44" spans="1:18">
      <c r="B44">
        <v>406007</v>
      </c>
      <c r="C44" t="s">
        <v>1276</v>
      </c>
      <c r="D44" t="s">
        <v>1277</v>
      </c>
      <c r="E44" t="s">
        <v>1103</v>
      </c>
      <c r="F44" t="s">
        <v>1278</v>
      </c>
      <c r="G44" t="s">
        <v>1279</v>
      </c>
      <c r="H44" t="s">
        <v>1137</v>
      </c>
      <c r="I44" t="b">
        <v>1</v>
      </c>
      <c r="J44" t="b">
        <v>0</v>
      </c>
      <c r="K44" t="b">
        <v>0</v>
      </c>
      <c r="L44" t="b">
        <v>1</v>
      </c>
      <c r="M44" t="b">
        <v>1</v>
      </c>
      <c r="N44" t="b">
        <v>0</v>
      </c>
      <c r="O44" t="s">
        <v>1280</v>
      </c>
      <c r="P44" t="b">
        <v>1</v>
      </c>
      <c r="Q44" t="b">
        <v>0</v>
      </c>
      <c r="R44">
        <v>0</v>
      </c>
    </row>
    <row r="45" spans="1:18">
      <c r="B45">
        <v>406008</v>
      </c>
      <c r="C45" t="s">
        <v>1281</v>
      </c>
      <c r="D45" t="s">
        <v>1175</v>
      </c>
      <c r="E45" t="s">
        <v>1103</v>
      </c>
      <c r="F45" t="s">
        <v>1282</v>
      </c>
      <c r="G45" t="s">
        <v>1283</v>
      </c>
      <c r="H45" t="s">
        <v>1137</v>
      </c>
      <c r="I45" t="b">
        <v>1</v>
      </c>
      <c r="J45" t="b">
        <v>0</v>
      </c>
      <c r="K45" t="b">
        <v>0</v>
      </c>
      <c r="L45" t="b">
        <v>1</v>
      </c>
      <c r="M45" t="b">
        <v>1</v>
      </c>
      <c r="N45" t="b">
        <v>0</v>
      </c>
      <c r="O45" t="s">
        <v>1284</v>
      </c>
      <c r="P45" t="b">
        <v>1</v>
      </c>
      <c r="Q45" t="b">
        <v>0</v>
      </c>
      <c r="R45">
        <v>0</v>
      </c>
    </row>
    <row r="46" spans="1:18">
      <c r="A46" t="s">
        <v>39</v>
      </c>
    </row>
    <row r="47" spans="1:18">
      <c r="A47" t="s">
        <v>39</v>
      </c>
      <c r="B47" t="s">
        <v>1285</v>
      </c>
      <c r="C47" t="s">
        <v>209</v>
      </c>
      <c r="D47" t="s">
        <v>209</v>
      </c>
      <c r="E47" t="s">
        <v>209</v>
      </c>
      <c r="F47" t="s">
        <v>209</v>
      </c>
      <c r="G47" t="s">
        <v>209</v>
      </c>
      <c r="H47" t="s">
        <v>209</v>
      </c>
      <c r="I47" t="s">
        <v>209</v>
      </c>
      <c r="J47" t="s">
        <v>209</v>
      </c>
      <c r="K47" t="s">
        <v>209</v>
      </c>
      <c r="L47" t="s">
        <v>209</v>
      </c>
      <c r="M47" t="s">
        <v>209</v>
      </c>
      <c r="N47" t="s">
        <v>209</v>
      </c>
      <c r="O47" t="s">
        <v>209</v>
      </c>
      <c r="P47" t="s">
        <v>209</v>
      </c>
      <c r="Q47" t="s">
        <v>209</v>
      </c>
      <c r="R47" t="s">
        <v>209</v>
      </c>
    </row>
    <row r="48" spans="1:18">
      <c r="A48" t="s">
        <v>209</v>
      </c>
      <c r="B48">
        <v>201001</v>
      </c>
      <c r="C48" t="s">
        <v>1286</v>
      </c>
      <c r="D48" t="s">
        <v>1197</v>
      </c>
      <c r="E48" t="s">
        <v>90</v>
      </c>
      <c r="F48" t="s">
        <v>1198</v>
      </c>
      <c r="G48" t="s">
        <v>1199</v>
      </c>
      <c r="H48" t="s">
        <v>209</v>
      </c>
      <c r="I48" t="b">
        <v>0</v>
      </c>
      <c r="J48" t="b">
        <v>0</v>
      </c>
      <c r="K48" t="b">
        <v>0</v>
      </c>
      <c r="L48" t="b">
        <v>1</v>
      </c>
      <c r="M48" t="b">
        <v>1</v>
      </c>
      <c r="N48" t="b">
        <v>1</v>
      </c>
      <c r="O48" t="s">
        <v>209</v>
      </c>
      <c r="P48" t="b">
        <v>1</v>
      </c>
      <c r="Q48" t="b">
        <v>0</v>
      </c>
      <c r="R48">
        <v>0</v>
      </c>
    </row>
    <row r="49" spans="1:18">
      <c r="A49" t="s">
        <v>209</v>
      </c>
      <c r="B49">
        <v>201002</v>
      </c>
      <c r="C49" t="s">
        <v>1287</v>
      </c>
      <c r="D49" t="s">
        <v>1201</v>
      </c>
      <c r="E49" t="s">
        <v>90</v>
      </c>
      <c r="F49" t="s">
        <v>1202</v>
      </c>
      <c r="G49" t="s">
        <v>1203</v>
      </c>
      <c r="H49" t="s">
        <v>209</v>
      </c>
      <c r="I49" t="b">
        <v>0</v>
      </c>
      <c r="J49" t="b">
        <v>0</v>
      </c>
      <c r="K49" t="b">
        <v>0</v>
      </c>
      <c r="L49" t="b">
        <v>1</v>
      </c>
      <c r="M49" t="b">
        <v>1</v>
      </c>
      <c r="N49" t="b">
        <v>1</v>
      </c>
      <c r="O49" t="s">
        <v>209</v>
      </c>
      <c r="P49" t="b">
        <v>1</v>
      </c>
      <c r="Q49" t="b">
        <v>0</v>
      </c>
      <c r="R49">
        <v>0</v>
      </c>
    </row>
    <row r="50" spans="1:18">
      <c r="A50" t="s">
        <v>209</v>
      </c>
      <c r="B50">
        <v>204001</v>
      </c>
      <c r="C50" t="s">
        <v>1288</v>
      </c>
      <c r="D50" t="s">
        <v>1193</v>
      </c>
      <c r="E50" t="s">
        <v>90</v>
      </c>
      <c r="F50" t="s">
        <v>1194</v>
      </c>
      <c r="G50" t="s">
        <v>1195</v>
      </c>
      <c r="H50" t="s">
        <v>209</v>
      </c>
      <c r="I50" t="b">
        <v>0</v>
      </c>
      <c r="J50" t="b">
        <v>0</v>
      </c>
      <c r="K50" t="b">
        <v>0</v>
      </c>
      <c r="L50" t="b">
        <v>1</v>
      </c>
      <c r="M50" t="b">
        <v>1</v>
      </c>
      <c r="N50" t="b">
        <v>1</v>
      </c>
      <c r="O50" t="s">
        <v>209</v>
      </c>
      <c r="P50" t="b">
        <v>1</v>
      </c>
      <c r="Q50" t="b">
        <v>0</v>
      </c>
      <c r="R50">
        <v>0</v>
      </c>
    </row>
    <row r="51" spans="1:18">
      <c r="A51" t="s">
        <v>39</v>
      </c>
      <c r="B51" t="s">
        <v>1289</v>
      </c>
      <c r="C51" t="s">
        <v>209</v>
      </c>
      <c r="D51" t="s">
        <v>209</v>
      </c>
      <c r="E51" t="s">
        <v>209</v>
      </c>
      <c r="F51" t="s">
        <v>209</v>
      </c>
      <c r="G51" t="s">
        <v>209</v>
      </c>
      <c r="H51" t="s">
        <v>209</v>
      </c>
      <c r="I51" t="s">
        <v>209</v>
      </c>
      <c r="J51" t="s">
        <v>209</v>
      </c>
      <c r="K51" t="s">
        <v>209</v>
      </c>
      <c r="L51" t="s">
        <v>209</v>
      </c>
      <c r="M51" t="s">
        <v>209</v>
      </c>
      <c r="N51" t="s">
        <v>209</v>
      </c>
      <c r="O51" t="s">
        <v>209</v>
      </c>
      <c r="P51" t="s">
        <v>209</v>
      </c>
      <c r="Q51" t="s">
        <v>209</v>
      </c>
      <c r="R51" t="s">
        <v>209</v>
      </c>
    </row>
    <row r="52" spans="1:18">
      <c r="A52" t="s">
        <v>209</v>
      </c>
      <c r="B52">
        <v>301001</v>
      </c>
      <c r="C52" t="s">
        <v>1290</v>
      </c>
      <c r="D52" t="s">
        <v>1212</v>
      </c>
      <c r="E52" t="s">
        <v>1207</v>
      </c>
      <c r="F52" t="s">
        <v>1213</v>
      </c>
      <c r="G52" t="s">
        <v>1214</v>
      </c>
      <c r="H52" t="s">
        <v>209</v>
      </c>
      <c r="I52" t="b">
        <v>0</v>
      </c>
      <c r="J52" t="b">
        <v>0</v>
      </c>
      <c r="K52" t="b">
        <v>0</v>
      </c>
      <c r="L52" t="b">
        <v>1</v>
      </c>
      <c r="M52" t="b">
        <v>1</v>
      </c>
      <c r="N52" t="b">
        <v>0</v>
      </c>
      <c r="O52" t="s">
        <v>1215</v>
      </c>
      <c r="P52" t="b">
        <v>1</v>
      </c>
      <c r="Q52" t="b">
        <v>0</v>
      </c>
      <c r="R52">
        <v>0</v>
      </c>
    </row>
    <row r="53" spans="1:18">
      <c r="A53" t="s">
        <v>209</v>
      </c>
      <c r="B53">
        <v>301002</v>
      </c>
      <c r="C53" t="s">
        <v>1291</v>
      </c>
      <c r="D53" t="s">
        <v>1217</v>
      </c>
      <c r="E53" t="s">
        <v>1207</v>
      </c>
      <c r="F53" t="s">
        <v>1218</v>
      </c>
      <c r="G53" t="s">
        <v>1219</v>
      </c>
      <c r="H53" t="s">
        <v>209</v>
      </c>
      <c r="I53" t="b">
        <v>0</v>
      </c>
      <c r="J53" t="b">
        <v>0</v>
      </c>
      <c r="K53" t="b">
        <v>0</v>
      </c>
      <c r="L53" t="b">
        <v>1</v>
      </c>
      <c r="M53" t="b">
        <v>1</v>
      </c>
      <c r="N53" t="b">
        <v>0</v>
      </c>
      <c r="O53" t="s">
        <v>1215</v>
      </c>
      <c r="P53" t="b">
        <v>1</v>
      </c>
      <c r="Q53" t="b">
        <v>0</v>
      </c>
      <c r="R53">
        <v>0</v>
      </c>
    </row>
    <row r="54" spans="1:18">
      <c r="A54" t="s">
        <v>39</v>
      </c>
      <c r="B54" t="s">
        <v>1292</v>
      </c>
    </row>
    <row r="55" spans="1:18">
      <c r="B55">
        <v>500005</v>
      </c>
      <c r="C55" t="s">
        <v>1293</v>
      </c>
      <c r="D55" t="s">
        <v>1294</v>
      </c>
      <c r="E55" t="s">
        <v>90</v>
      </c>
      <c r="F55" t="s">
        <v>1295</v>
      </c>
      <c r="G55" t="s">
        <v>1296</v>
      </c>
      <c r="H55" t="s">
        <v>1137</v>
      </c>
      <c r="I55" t="b">
        <v>1</v>
      </c>
      <c r="J55" t="b">
        <v>0</v>
      </c>
      <c r="K55" t="b">
        <v>0</v>
      </c>
      <c r="L55" t="b">
        <v>1</v>
      </c>
      <c r="M55" t="b">
        <v>1</v>
      </c>
      <c r="N55" t="b">
        <v>0</v>
      </c>
      <c r="O55" t="s">
        <v>209</v>
      </c>
      <c r="P55" t="b">
        <v>1</v>
      </c>
      <c r="Q55" t="b">
        <v>0</v>
      </c>
      <c r="R55">
        <v>0</v>
      </c>
    </row>
    <row r="56" spans="1:18">
      <c r="B56">
        <v>500012</v>
      </c>
      <c r="C56" t="s">
        <v>1297</v>
      </c>
      <c r="D56" t="s">
        <v>1298</v>
      </c>
      <c r="E56" t="s">
        <v>90</v>
      </c>
      <c r="F56" t="s">
        <v>1299</v>
      </c>
      <c r="G56" t="s">
        <v>1300</v>
      </c>
      <c r="H56" t="s">
        <v>1137</v>
      </c>
      <c r="I56" t="b">
        <v>1</v>
      </c>
      <c r="J56" t="b">
        <v>0</v>
      </c>
      <c r="K56" t="b">
        <v>0</v>
      </c>
      <c r="L56" t="b">
        <v>1</v>
      </c>
      <c r="M56" t="b">
        <v>1</v>
      </c>
      <c r="N56" t="b">
        <v>0</v>
      </c>
      <c r="O56" t="s">
        <v>209</v>
      </c>
      <c r="P56" t="b">
        <v>1</v>
      </c>
      <c r="Q56" t="b">
        <v>0</v>
      </c>
      <c r="R56">
        <v>0</v>
      </c>
    </row>
    <row r="57" spans="1:18">
      <c r="A57" t="s">
        <v>39</v>
      </c>
      <c r="B57" t="s">
        <v>1301</v>
      </c>
      <c r="C57" t="s">
        <v>209</v>
      </c>
      <c r="D57" t="s">
        <v>209</v>
      </c>
      <c r="E57" t="s">
        <v>209</v>
      </c>
      <c r="F57" t="s">
        <v>209</v>
      </c>
      <c r="G57" t="s">
        <v>209</v>
      </c>
      <c r="H57" t="s">
        <v>209</v>
      </c>
      <c r="I57" t="s">
        <v>209</v>
      </c>
      <c r="J57" t="s">
        <v>209</v>
      </c>
      <c r="K57" t="s">
        <v>209</v>
      </c>
      <c r="L57" t="s">
        <v>209</v>
      </c>
      <c r="M57" t="s">
        <v>209</v>
      </c>
      <c r="N57" t="s">
        <v>209</v>
      </c>
      <c r="O57" t="s">
        <v>209</v>
      </c>
      <c r="P57" t="s">
        <v>209</v>
      </c>
      <c r="Q57" t="s">
        <v>209</v>
      </c>
      <c r="R57" t="s">
        <v>209</v>
      </c>
    </row>
    <row r="58" spans="1:18">
      <c r="A58" t="s">
        <v>209</v>
      </c>
      <c r="B58">
        <v>501001</v>
      </c>
      <c r="C58" t="s">
        <v>1302</v>
      </c>
      <c r="D58" t="s">
        <v>1303</v>
      </c>
      <c r="E58" t="s">
        <v>90</v>
      </c>
      <c r="F58" t="s">
        <v>1135</v>
      </c>
      <c r="G58" t="s">
        <v>1136</v>
      </c>
      <c r="H58" t="s">
        <v>1137</v>
      </c>
      <c r="I58" t="b">
        <v>1</v>
      </c>
      <c r="J58" t="b">
        <v>0</v>
      </c>
      <c r="K58" t="b">
        <v>0</v>
      </c>
      <c r="L58" t="b">
        <v>1</v>
      </c>
      <c r="M58" t="b">
        <v>1</v>
      </c>
      <c r="N58" t="b">
        <v>0</v>
      </c>
      <c r="O58" t="s">
        <v>209</v>
      </c>
      <c r="P58" t="b">
        <v>0</v>
      </c>
      <c r="Q58" t="b">
        <v>0</v>
      </c>
      <c r="R58">
        <v>0</v>
      </c>
    </row>
    <row r="59" spans="1:18">
      <c r="A59" t="s">
        <v>209</v>
      </c>
      <c r="B59">
        <v>501002</v>
      </c>
      <c r="C59" t="s">
        <v>1304</v>
      </c>
      <c r="D59" t="s">
        <v>1305</v>
      </c>
      <c r="E59" t="s">
        <v>90</v>
      </c>
      <c r="F59" t="s">
        <v>1140</v>
      </c>
      <c r="G59" t="s">
        <v>1141</v>
      </c>
      <c r="H59" t="s">
        <v>1137</v>
      </c>
      <c r="I59" t="b">
        <v>1</v>
      </c>
      <c r="J59" t="b">
        <v>0</v>
      </c>
      <c r="K59" t="b">
        <v>0</v>
      </c>
      <c r="L59" t="b">
        <v>1</v>
      </c>
      <c r="M59" t="b">
        <v>1</v>
      </c>
      <c r="N59" t="b">
        <v>0</v>
      </c>
      <c r="O59" t="s">
        <v>209</v>
      </c>
      <c r="P59" t="b">
        <v>1</v>
      </c>
      <c r="Q59" t="b">
        <v>0</v>
      </c>
      <c r="R59">
        <v>0</v>
      </c>
    </row>
    <row r="60" spans="1:18">
      <c r="A60" t="s">
        <v>209</v>
      </c>
      <c r="B60">
        <v>501003</v>
      </c>
      <c r="C60" t="s">
        <v>1306</v>
      </c>
      <c r="D60" t="s">
        <v>1307</v>
      </c>
      <c r="E60" t="s">
        <v>90</v>
      </c>
      <c r="F60" t="s">
        <v>1144</v>
      </c>
      <c r="G60" t="s">
        <v>1145</v>
      </c>
      <c r="H60" t="s">
        <v>1137</v>
      </c>
      <c r="I60" t="b">
        <v>1</v>
      </c>
      <c r="J60" t="b">
        <v>0</v>
      </c>
      <c r="K60" t="b">
        <v>0</v>
      </c>
      <c r="L60" t="b">
        <v>1</v>
      </c>
      <c r="M60" t="b">
        <v>1</v>
      </c>
      <c r="N60" t="b">
        <v>0</v>
      </c>
      <c r="O60" t="s">
        <v>209</v>
      </c>
      <c r="P60" t="b">
        <v>1</v>
      </c>
      <c r="Q60" t="b">
        <v>0</v>
      </c>
      <c r="R60">
        <v>0</v>
      </c>
    </row>
    <row r="61" spans="1:18">
      <c r="A61" t="s">
        <v>209</v>
      </c>
      <c r="B61">
        <v>501004</v>
      </c>
      <c r="C61" t="s">
        <v>1308</v>
      </c>
      <c r="D61" t="s">
        <v>1309</v>
      </c>
      <c r="E61" t="s">
        <v>90</v>
      </c>
      <c r="F61" t="s">
        <v>1148</v>
      </c>
      <c r="G61" t="s">
        <v>1149</v>
      </c>
      <c r="H61" t="s">
        <v>1137</v>
      </c>
      <c r="I61" t="b">
        <v>1</v>
      </c>
      <c r="J61" t="b">
        <v>0</v>
      </c>
      <c r="K61" t="b">
        <v>0</v>
      </c>
      <c r="L61" t="b">
        <v>1</v>
      </c>
      <c r="M61" t="b">
        <v>1</v>
      </c>
      <c r="N61" t="b">
        <v>0</v>
      </c>
      <c r="O61" t="s">
        <v>209</v>
      </c>
      <c r="P61" t="b">
        <v>0</v>
      </c>
      <c r="Q61" t="b">
        <v>0</v>
      </c>
      <c r="R61">
        <v>0</v>
      </c>
    </row>
    <row r="62" customFormat="1" spans="1:18">
      <c r="A62" t="s">
        <v>209</v>
      </c>
      <c r="B62">
        <v>501005</v>
      </c>
      <c r="C62" t="s">
        <v>1310</v>
      </c>
      <c r="D62" t="s">
        <v>1303</v>
      </c>
      <c r="E62" t="s">
        <v>90</v>
      </c>
      <c r="F62" t="s">
        <v>1135</v>
      </c>
      <c r="G62" t="s">
        <v>1136</v>
      </c>
      <c r="H62" t="s">
        <v>1137</v>
      </c>
      <c r="I62" t="b">
        <v>1</v>
      </c>
      <c r="J62" t="b">
        <v>0</v>
      </c>
      <c r="K62" t="b">
        <v>0</v>
      </c>
      <c r="L62" t="b">
        <v>1</v>
      </c>
      <c r="M62" t="b">
        <v>1</v>
      </c>
      <c r="N62" t="b">
        <v>0</v>
      </c>
      <c r="O62" t="s">
        <v>209</v>
      </c>
      <c r="P62" t="b">
        <v>1</v>
      </c>
      <c r="Q62" t="b">
        <v>0</v>
      </c>
      <c r="R62">
        <v>0</v>
      </c>
    </row>
    <row r="63" customFormat="1" spans="1:18">
      <c r="A63" t="s">
        <v>209</v>
      </c>
      <c r="B63">
        <v>501006</v>
      </c>
      <c r="C63" t="s">
        <v>1311</v>
      </c>
      <c r="D63" t="s">
        <v>1309</v>
      </c>
      <c r="E63" t="s">
        <v>90</v>
      </c>
      <c r="F63" t="s">
        <v>1148</v>
      </c>
      <c r="G63" t="s">
        <v>1149</v>
      </c>
      <c r="H63" t="s">
        <v>1137</v>
      </c>
      <c r="I63" t="b">
        <v>1</v>
      </c>
      <c r="J63" t="b">
        <v>0</v>
      </c>
      <c r="K63" t="b">
        <v>0</v>
      </c>
      <c r="L63" t="b">
        <v>1</v>
      </c>
      <c r="M63" t="b">
        <v>1</v>
      </c>
      <c r="N63" t="b">
        <v>0</v>
      </c>
      <c r="O63" t="s">
        <v>209</v>
      </c>
      <c r="P63" t="b">
        <v>0</v>
      </c>
      <c r="Q63" t="b">
        <v>0</v>
      </c>
      <c r="R63">
        <v>0</v>
      </c>
    </row>
    <row r="64" customFormat="1" spans="1:18">
      <c r="A64" t="s">
        <v>209</v>
      </c>
      <c r="B64">
        <v>501007</v>
      </c>
      <c r="C64" t="s">
        <v>1312</v>
      </c>
      <c r="D64" t="s">
        <v>1309</v>
      </c>
      <c r="E64" t="s">
        <v>90</v>
      </c>
      <c r="F64" t="s">
        <v>1148</v>
      </c>
      <c r="G64" t="s">
        <v>1149</v>
      </c>
      <c r="H64" t="s">
        <v>1137</v>
      </c>
      <c r="I64" t="b">
        <v>1</v>
      </c>
      <c r="J64" t="b">
        <v>0</v>
      </c>
      <c r="K64" t="b">
        <v>0</v>
      </c>
      <c r="L64" t="b">
        <v>1</v>
      </c>
      <c r="M64" t="b">
        <v>1</v>
      </c>
      <c r="N64" t="b">
        <v>0</v>
      </c>
      <c r="O64" t="s">
        <v>209</v>
      </c>
      <c r="P64" t="b">
        <v>1</v>
      </c>
      <c r="Q64" t="b">
        <v>0</v>
      </c>
      <c r="R64">
        <v>0</v>
      </c>
    </row>
    <row r="65" spans="1:18">
      <c r="A65" t="s">
        <v>39</v>
      </c>
      <c r="B65" t="s">
        <v>1313</v>
      </c>
      <c r="C65" t="s">
        <v>209</v>
      </c>
      <c r="D65" t="s">
        <v>209</v>
      </c>
      <c r="E65" t="s">
        <v>209</v>
      </c>
      <c r="F65" t="s">
        <v>209</v>
      </c>
      <c r="G65" t="s">
        <v>209</v>
      </c>
      <c r="H65" t="s">
        <v>209</v>
      </c>
      <c r="I65" t="s">
        <v>209</v>
      </c>
      <c r="J65" t="s">
        <v>209</v>
      </c>
      <c r="K65" t="s">
        <v>209</v>
      </c>
      <c r="L65" t="s">
        <v>209</v>
      </c>
      <c r="M65" t="s">
        <v>209</v>
      </c>
      <c r="N65" t="s">
        <v>209</v>
      </c>
      <c r="O65" t="s">
        <v>209</v>
      </c>
      <c r="P65" t="s">
        <v>209</v>
      </c>
      <c r="Q65" t="s">
        <v>209</v>
      </c>
      <c r="R65" t="s">
        <v>209</v>
      </c>
    </row>
    <row r="66" spans="1:18">
      <c r="A66" t="s">
        <v>209</v>
      </c>
      <c r="B66">
        <v>601001</v>
      </c>
      <c r="C66" t="s">
        <v>1314</v>
      </c>
      <c r="D66" t="s">
        <v>1267</v>
      </c>
      <c r="E66" t="s">
        <v>1103</v>
      </c>
      <c r="F66" t="s">
        <v>1268</v>
      </c>
      <c r="G66" t="s">
        <v>1269</v>
      </c>
      <c r="H66" t="s">
        <v>1137</v>
      </c>
      <c r="I66" t="b">
        <v>1</v>
      </c>
      <c r="J66" t="b">
        <v>0</v>
      </c>
      <c r="K66" t="b">
        <v>0</v>
      </c>
      <c r="L66" t="b">
        <v>1</v>
      </c>
      <c r="M66" t="b">
        <v>1</v>
      </c>
      <c r="N66" t="b">
        <v>0</v>
      </c>
      <c r="O66" t="s">
        <v>1315</v>
      </c>
      <c r="P66" t="b">
        <v>0</v>
      </c>
      <c r="Q66" t="b">
        <v>0</v>
      </c>
      <c r="R66">
        <v>0</v>
      </c>
    </row>
    <row r="67" spans="1:18">
      <c r="A67" t="s">
        <v>209</v>
      </c>
      <c r="B67">
        <v>601002</v>
      </c>
      <c r="C67" t="s">
        <v>1316</v>
      </c>
      <c r="D67" t="s">
        <v>1272</v>
      </c>
      <c r="E67" t="s">
        <v>1103</v>
      </c>
      <c r="F67" t="s">
        <v>1273</v>
      </c>
      <c r="G67" t="s">
        <v>1274</v>
      </c>
      <c r="H67" t="s">
        <v>1137</v>
      </c>
      <c r="I67" t="b">
        <v>1</v>
      </c>
      <c r="J67" t="b">
        <v>0</v>
      </c>
      <c r="K67" t="b">
        <v>0</v>
      </c>
      <c r="L67" t="b">
        <v>1</v>
      </c>
      <c r="M67" t="b">
        <v>1</v>
      </c>
      <c r="N67" t="b">
        <v>0</v>
      </c>
      <c r="O67" t="s">
        <v>1317</v>
      </c>
      <c r="P67" t="b">
        <v>1</v>
      </c>
      <c r="Q67" t="b">
        <v>0</v>
      </c>
      <c r="R67">
        <v>0</v>
      </c>
    </row>
    <row r="68" spans="1:18">
      <c r="A68" t="s">
        <v>209</v>
      </c>
      <c r="B68">
        <v>601003</v>
      </c>
      <c r="C68" t="s">
        <v>1318</v>
      </c>
      <c r="D68" t="s">
        <v>1277</v>
      </c>
      <c r="E68" t="s">
        <v>1103</v>
      </c>
      <c r="F68" t="s">
        <v>1278</v>
      </c>
      <c r="G68" t="s">
        <v>1279</v>
      </c>
      <c r="H68" t="s">
        <v>1137</v>
      </c>
      <c r="I68" t="b">
        <v>1</v>
      </c>
      <c r="J68" t="b">
        <v>0</v>
      </c>
      <c r="K68" t="b">
        <v>0</v>
      </c>
      <c r="L68" t="b">
        <v>1</v>
      </c>
      <c r="M68" t="b">
        <v>1</v>
      </c>
      <c r="N68" t="b">
        <v>0</v>
      </c>
      <c r="O68" t="s">
        <v>1319</v>
      </c>
      <c r="P68" t="b">
        <v>1</v>
      </c>
      <c r="Q68" t="b">
        <v>0</v>
      </c>
      <c r="R68">
        <v>0</v>
      </c>
    </row>
    <row r="69" spans="1:18">
      <c r="A69" t="s">
        <v>209</v>
      </c>
      <c r="B69">
        <v>601004</v>
      </c>
      <c r="C69" t="s">
        <v>1320</v>
      </c>
      <c r="D69" t="s">
        <v>1175</v>
      </c>
      <c r="E69" t="s">
        <v>1103</v>
      </c>
      <c r="F69" t="s">
        <v>1282</v>
      </c>
      <c r="G69" t="s">
        <v>1283</v>
      </c>
      <c r="H69" t="s">
        <v>1137</v>
      </c>
      <c r="I69" t="b">
        <v>1</v>
      </c>
      <c r="J69" t="b">
        <v>0</v>
      </c>
      <c r="K69" t="b">
        <v>0</v>
      </c>
      <c r="L69" t="b">
        <v>1</v>
      </c>
      <c r="M69" t="b">
        <v>1</v>
      </c>
      <c r="N69" t="b">
        <v>0</v>
      </c>
      <c r="O69" t="s">
        <v>1321</v>
      </c>
      <c r="P69" t="b">
        <v>0</v>
      </c>
      <c r="Q69" t="b">
        <v>0</v>
      </c>
      <c r="R69">
        <v>0</v>
      </c>
    </row>
    <row r="70" customFormat="1" spans="1:18">
      <c r="A70" t="s">
        <v>209</v>
      </c>
      <c r="B70">
        <v>601005</v>
      </c>
      <c r="C70" t="s">
        <v>1322</v>
      </c>
      <c r="D70" t="s">
        <v>1267</v>
      </c>
      <c r="E70" t="s">
        <v>1103</v>
      </c>
      <c r="F70" t="s">
        <v>1268</v>
      </c>
      <c r="G70" t="s">
        <v>1269</v>
      </c>
      <c r="H70" t="s">
        <v>1137</v>
      </c>
      <c r="I70" t="b">
        <v>1</v>
      </c>
      <c r="J70" t="b">
        <v>0</v>
      </c>
      <c r="K70" t="b">
        <v>0</v>
      </c>
      <c r="L70" t="b">
        <v>1</v>
      </c>
      <c r="M70" t="b">
        <v>1</v>
      </c>
      <c r="N70" t="b">
        <v>0</v>
      </c>
      <c r="O70" t="s">
        <v>1323</v>
      </c>
      <c r="P70" t="b">
        <v>1</v>
      </c>
      <c r="Q70" t="b">
        <v>0</v>
      </c>
      <c r="R70">
        <v>0</v>
      </c>
    </row>
    <row r="71" customFormat="1" spans="1:18">
      <c r="A71" t="s">
        <v>209</v>
      </c>
      <c r="B71">
        <v>601006</v>
      </c>
      <c r="C71" t="s">
        <v>1324</v>
      </c>
      <c r="D71" t="s">
        <v>1175</v>
      </c>
      <c r="E71" t="s">
        <v>1103</v>
      </c>
      <c r="F71" t="s">
        <v>1282</v>
      </c>
      <c r="G71" t="s">
        <v>1283</v>
      </c>
      <c r="H71" t="s">
        <v>1137</v>
      </c>
      <c r="I71" t="b">
        <v>1</v>
      </c>
      <c r="J71" t="b">
        <v>0</v>
      </c>
      <c r="K71" t="b">
        <v>0</v>
      </c>
      <c r="L71" t="b">
        <v>1</v>
      </c>
      <c r="M71" t="b">
        <v>1</v>
      </c>
      <c r="N71" t="b">
        <v>0</v>
      </c>
      <c r="O71" t="s">
        <v>1325</v>
      </c>
      <c r="P71" t="b">
        <v>0</v>
      </c>
      <c r="Q71" t="b">
        <v>0</v>
      </c>
      <c r="R71">
        <v>0</v>
      </c>
    </row>
    <row r="72" customFormat="1" spans="1:18">
      <c r="A72" t="s">
        <v>209</v>
      </c>
      <c r="B72">
        <v>601007</v>
      </c>
      <c r="C72" t="s">
        <v>1326</v>
      </c>
      <c r="D72" t="s">
        <v>1175</v>
      </c>
      <c r="E72" t="s">
        <v>1103</v>
      </c>
      <c r="F72" t="s">
        <v>1282</v>
      </c>
      <c r="G72" t="s">
        <v>1283</v>
      </c>
      <c r="H72" t="s">
        <v>1137</v>
      </c>
      <c r="I72" t="b">
        <v>1</v>
      </c>
      <c r="J72" t="b">
        <v>0</v>
      </c>
      <c r="K72" t="b">
        <v>0</v>
      </c>
      <c r="L72" t="b">
        <v>1</v>
      </c>
      <c r="M72" t="b">
        <v>1</v>
      </c>
      <c r="N72" t="b">
        <v>0</v>
      </c>
      <c r="O72" t="s">
        <v>1327</v>
      </c>
      <c r="P72" t="b">
        <v>1</v>
      </c>
      <c r="Q72" t="b">
        <v>0</v>
      </c>
      <c r="R72">
        <v>0</v>
      </c>
    </row>
    <row r="73" spans="1:18">
      <c r="A73" t="s">
        <v>39</v>
      </c>
      <c r="B73" t="s">
        <v>1328</v>
      </c>
      <c r="C73" t="s">
        <v>209</v>
      </c>
      <c r="D73" t="s">
        <v>209</v>
      </c>
      <c r="E73" t="s">
        <v>209</v>
      </c>
      <c r="F73" t="s">
        <v>209</v>
      </c>
      <c r="G73" t="s">
        <v>209</v>
      </c>
      <c r="H73" t="s">
        <v>209</v>
      </c>
      <c r="I73" t="s">
        <v>209</v>
      </c>
      <c r="J73" t="s">
        <v>209</v>
      </c>
      <c r="K73" t="s">
        <v>209</v>
      </c>
      <c r="L73" t="s">
        <v>209</v>
      </c>
      <c r="M73" t="s">
        <v>209</v>
      </c>
      <c r="N73" t="s">
        <v>209</v>
      </c>
      <c r="O73" t="s">
        <v>209</v>
      </c>
      <c r="P73" t="s">
        <v>209</v>
      </c>
      <c r="Q73" t="s">
        <v>209</v>
      </c>
      <c r="R73" t="s">
        <v>209</v>
      </c>
    </row>
    <row r="74" spans="1:18">
      <c r="A74" t="s">
        <v>209</v>
      </c>
      <c r="B74">
        <v>700001</v>
      </c>
      <c r="C74" t="s">
        <v>1329</v>
      </c>
      <c r="D74" t="s">
        <v>1330</v>
      </c>
      <c r="E74" t="s">
        <v>775</v>
      </c>
      <c r="F74" t="s">
        <v>1331</v>
      </c>
      <c r="G74" t="s">
        <v>1332</v>
      </c>
      <c r="H74" t="s">
        <v>209</v>
      </c>
      <c r="I74" t="b">
        <v>0</v>
      </c>
      <c r="J74" t="b">
        <v>0</v>
      </c>
      <c r="K74" t="b">
        <v>0</v>
      </c>
      <c r="L74" t="b">
        <v>1</v>
      </c>
      <c r="M74" t="b">
        <v>1</v>
      </c>
      <c r="N74" t="b">
        <v>0</v>
      </c>
      <c r="O74" t="s">
        <v>1333</v>
      </c>
      <c r="P74" t="b">
        <v>1</v>
      </c>
      <c r="Q74" t="b">
        <v>1</v>
      </c>
      <c r="R74">
        <v>0</v>
      </c>
    </row>
    <row r="75" spans="1:18">
      <c r="A75" t="s">
        <v>209</v>
      </c>
      <c r="B75">
        <v>700002</v>
      </c>
      <c r="C75" t="s">
        <v>1334</v>
      </c>
      <c r="D75" t="s">
        <v>1335</v>
      </c>
      <c r="E75" t="s">
        <v>775</v>
      </c>
      <c r="F75" t="s">
        <v>1336</v>
      </c>
      <c r="G75" t="s">
        <v>1337</v>
      </c>
      <c r="H75" t="s">
        <v>209</v>
      </c>
      <c r="I75" t="b">
        <v>0</v>
      </c>
      <c r="J75" t="b">
        <v>0</v>
      </c>
      <c r="K75" t="b">
        <v>0</v>
      </c>
      <c r="L75" t="b">
        <v>1</v>
      </c>
      <c r="M75" t="b">
        <v>1</v>
      </c>
      <c r="N75" t="b">
        <v>0</v>
      </c>
      <c r="O75" t="s">
        <v>1338</v>
      </c>
      <c r="P75" t="b">
        <v>1</v>
      </c>
      <c r="Q75" t="b">
        <v>1</v>
      </c>
      <c r="R75">
        <v>0</v>
      </c>
    </row>
    <row r="76" spans="1:18">
      <c r="A76" t="s">
        <v>209</v>
      </c>
      <c r="B76">
        <v>700004</v>
      </c>
      <c r="C76" t="s">
        <v>1339</v>
      </c>
      <c r="D76" t="s">
        <v>1340</v>
      </c>
      <c r="E76" t="s">
        <v>775</v>
      </c>
      <c r="F76" t="s">
        <v>1341</v>
      </c>
      <c r="G76" t="s">
        <v>1342</v>
      </c>
      <c r="H76" t="s">
        <v>209</v>
      </c>
      <c r="I76" t="b">
        <v>0</v>
      </c>
      <c r="J76" t="b">
        <v>0</v>
      </c>
      <c r="K76" t="b">
        <v>0</v>
      </c>
      <c r="L76" t="b">
        <v>1</v>
      </c>
      <c r="M76" t="b">
        <v>1</v>
      </c>
      <c r="N76" t="b">
        <v>0</v>
      </c>
      <c r="O76" t="s">
        <v>1343</v>
      </c>
      <c r="P76" t="b">
        <v>1</v>
      </c>
      <c r="Q76" t="b">
        <v>1</v>
      </c>
      <c r="R76">
        <v>0</v>
      </c>
    </row>
    <row r="77" spans="1:18">
      <c r="A77" t="s">
        <v>209</v>
      </c>
      <c r="B77">
        <v>700005</v>
      </c>
      <c r="C77" t="s">
        <v>1344</v>
      </c>
      <c r="D77" t="s">
        <v>1345</v>
      </c>
      <c r="E77" t="s">
        <v>775</v>
      </c>
      <c r="F77" t="s">
        <v>1346</v>
      </c>
      <c r="G77" t="s">
        <v>1347</v>
      </c>
      <c r="H77" t="s">
        <v>209</v>
      </c>
      <c r="I77" t="b">
        <v>0</v>
      </c>
      <c r="J77" t="b">
        <v>0</v>
      </c>
      <c r="K77" t="b">
        <v>0</v>
      </c>
      <c r="L77" t="b">
        <v>1</v>
      </c>
      <c r="M77" t="b">
        <v>1</v>
      </c>
      <c r="N77" t="b">
        <v>0</v>
      </c>
      <c r="O77" t="s">
        <v>1338</v>
      </c>
      <c r="P77" t="b">
        <v>1</v>
      </c>
      <c r="Q77" t="b">
        <v>1</v>
      </c>
      <c r="R77">
        <v>0</v>
      </c>
    </row>
    <row r="78" spans="1:18">
      <c r="A78" t="s">
        <v>209</v>
      </c>
      <c r="B78">
        <v>700007</v>
      </c>
      <c r="C78" t="s">
        <v>1348</v>
      </c>
      <c r="D78" t="s">
        <v>1349</v>
      </c>
      <c r="E78" t="s">
        <v>775</v>
      </c>
      <c r="F78" t="s">
        <v>1350</v>
      </c>
      <c r="G78" t="s">
        <v>1351</v>
      </c>
      <c r="H78" t="s">
        <v>209</v>
      </c>
      <c r="I78" t="b">
        <v>0</v>
      </c>
      <c r="J78" t="b">
        <v>0</v>
      </c>
      <c r="K78" t="b">
        <v>0</v>
      </c>
      <c r="L78" t="b">
        <v>1</v>
      </c>
      <c r="M78" t="b">
        <v>1</v>
      </c>
      <c r="N78" t="b">
        <v>0</v>
      </c>
      <c r="O78" t="s">
        <v>1343</v>
      </c>
      <c r="P78" t="b">
        <v>1</v>
      </c>
      <c r="Q78" t="b">
        <v>1</v>
      </c>
      <c r="R78">
        <v>0</v>
      </c>
    </row>
    <row r="79" spans="1:18">
      <c r="A79" t="s">
        <v>209</v>
      </c>
      <c r="B79">
        <v>700008</v>
      </c>
      <c r="C79" t="s">
        <v>1352</v>
      </c>
      <c r="D79" t="s">
        <v>1353</v>
      </c>
      <c r="E79" t="s">
        <v>775</v>
      </c>
      <c r="F79" t="s">
        <v>1354</v>
      </c>
      <c r="G79" t="s">
        <v>1355</v>
      </c>
      <c r="H79" t="s">
        <v>209</v>
      </c>
      <c r="I79" t="b">
        <v>0</v>
      </c>
      <c r="J79" t="b">
        <v>0</v>
      </c>
      <c r="K79" t="b">
        <v>0</v>
      </c>
      <c r="L79" t="b">
        <v>1</v>
      </c>
      <c r="M79" t="b">
        <v>1</v>
      </c>
      <c r="N79" t="b">
        <v>0</v>
      </c>
      <c r="O79" t="s">
        <v>1338</v>
      </c>
      <c r="P79" t="b">
        <v>1</v>
      </c>
      <c r="Q79" t="b">
        <v>1</v>
      </c>
      <c r="R79">
        <v>0</v>
      </c>
    </row>
    <row r="80" spans="1:18">
      <c r="A80" t="s">
        <v>209</v>
      </c>
      <c r="B80">
        <v>700010</v>
      </c>
      <c r="C80" t="s">
        <v>1356</v>
      </c>
      <c r="D80" t="s">
        <v>1357</v>
      </c>
      <c r="E80" t="s">
        <v>775</v>
      </c>
      <c r="F80" t="s">
        <v>1358</v>
      </c>
      <c r="G80" t="s">
        <v>1359</v>
      </c>
      <c r="H80" t="s">
        <v>209</v>
      </c>
      <c r="I80" t="b">
        <v>0</v>
      </c>
      <c r="J80" t="b">
        <v>0</v>
      </c>
      <c r="K80" t="b">
        <v>0</v>
      </c>
      <c r="L80" t="b">
        <v>1</v>
      </c>
      <c r="M80" t="b">
        <v>1</v>
      </c>
      <c r="N80" t="b">
        <v>0</v>
      </c>
      <c r="O80" t="s">
        <v>1343</v>
      </c>
      <c r="P80" t="b">
        <v>1</v>
      </c>
      <c r="Q80" t="b">
        <v>1</v>
      </c>
      <c r="R80">
        <v>0</v>
      </c>
    </row>
    <row r="81" spans="1:18">
      <c r="A81" t="s">
        <v>209</v>
      </c>
      <c r="B81">
        <v>700011</v>
      </c>
      <c r="C81" t="s">
        <v>1360</v>
      </c>
      <c r="D81" t="s">
        <v>1361</v>
      </c>
      <c r="E81" t="s">
        <v>775</v>
      </c>
      <c r="F81" t="s">
        <v>1362</v>
      </c>
      <c r="G81" t="s">
        <v>1363</v>
      </c>
      <c r="H81" t="s">
        <v>209</v>
      </c>
      <c r="I81" t="b">
        <v>0</v>
      </c>
      <c r="J81" t="b">
        <v>0</v>
      </c>
      <c r="K81" t="b">
        <v>0</v>
      </c>
      <c r="L81" t="b">
        <v>1</v>
      </c>
      <c r="M81" t="b">
        <v>1</v>
      </c>
      <c r="N81" t="b">
        <v>0</v>
      </c>
      <c r="O81" t="s">
        <v>1338</v>
      </c>
      <c r="P81" t="b">
        <v>1</v>
      </c>
      <c r="Q81" t="b">
        <v>1</v>
      </c>
      <c r="R81">
        <v>0</v>
      </c>
    </row>
    <row r="82" spans="1:18">
      <c r="A82" t="s">
        <v>39</v>
      </c>
      <c r="B82" t="s">
        <v>1364</v>
      </c>
    </row>
    <row r="83" spans="1:18">
      <c r="B83">
        <v>700101</v>
      </c>
      <c r="C83" t="s">
        <v>1365</v>
      </c>
      <c r="D83" t="s">
        <v>1366</v>
      </c>
      <c r="E83" t="s">
        <v>775</v>
      </c>
      <c r="F83" t="s">
        <v>1367</v>
      </c>
      <c r="G83" t="s">
        <v>1368</v>
      </c>
      <c r="H83" t="s">
        <v>209</v>
      </c>
      <c r="I83" t="b">
        <v>0</v>
      </c>
      <c r="J83" t="b">
        <v>0</v>
      </c>
      <c r="K83" t="b">
        <v>0</v>
      </c>
      <c r="L83" t="b">
        <v>1</v>
      </c>
      <c r="M83" t="b">
        <v>1</v>
      </c>
      <c r="N83" t="b">
        <v>0</v>
      </c>
      <c r="O83" t="s">
        <v>1369</v>
      </c>
      <c r="P83" t="b">
        <v>1</v>
      </c>
      <c r="Q83" t="b">
        <v>0</v>
      </c>
      <c r="R83">
        <v>0</v>
      </c>
    </row>
    <row r="84" spans="1:18">
      <c r="B84">
        <v>700102</v>
      </c>
      <c r="C84" t="s">
        <v>1370</v>
      </c>
      <c r="D84" t="s">
        <v>1371</v>
      </c>
      <c r="E84" t="s">
        <v>775</v>
      </c>
      <c r="F84" t="s">
        <v>1372</v>
      </c>
      <c r="G84" t="s">
        <v>1373</v>
      </c>
      <c r="H84" t="s">
        <v>209</v>
      </c>
      <c r="I84" t="b">
        <v>0</v>
      </c>
      <c r="J84" t="b">
        <v>0</v>
      </c>
      <c r="K84" t="b">
        <v>0</v>
      </c>
      <c r="L84" t="b">
        <v>1</v>
      </c>
      <c r="M84" t="b">
        <v>1</v>
      </c>
      <c r="N84" t="b">
        <v>0</v>
      </c>
      <c r="O84" t="s">
        <v>1374</v>
      </c>
      <c r="P84" t="b">
        <v>1</v>
      </c>
      <c r="Q84" t="b">
        <v>0</v>
      </c>
      <c r="R84">
        <v>0</v>
      </c>
    </row>
    <row r="85" spans="1:18">
      <c r="B85">
        <v>700104</v>
      </c>
      <c r="C85" t="s">
        <v>1375</v>
      </c>
      <c r="D85" t="s">
        <v>1376</v>
      </c>
      <c r="E85" t="s">
        <v>775</v>
      </c>
      <c r="F85" t="s">
        <v>1377</v>
      </c>
      <c r="G85" t="s">
        <v>1378</v>
      </c>
      <c r="H85" t="s">
        <v>209</v>
      </c>
      <c r="I85" t="b">
        <v>0</v>
      </c>
      <c r="J85" t="b">
        <v>0</v>
      </c>
      <c r="K85" t="b">
        <v>0</v>
      </c>
      <c r="L85" t="b">
        <v>1</v>
      </c>
      <c r="M85" t="b">
        <v>1</v>
      </c>
      <c r="N85" t="b">
        <v>0</v>
      </c>
      <c r="O85" t="s">
        <v>1369</v>
      </c>
      <c r="P85" t="b">
        <v>1</v>
      </c>
      <c r="Q85" t="b">
        <v>0</v>
      </c>
      <c r="R85">
        <v>0</v>
      </c>
    </row>
    <row r="86" spans="1:18">
      <c r="B86">
        <v>700105</v>
      </c>
      <c r="C86" t="s">
        <v>1379</v>
      </c>
      <c r="D86" t="s">
        <v>1380</v>
      </c>
      <c r="E86" t="s">
        <v>775</v>
      </c>
      <c r="F86" t="s">
        <v>1381</v>
      </c>
      <c r="G86" t="s">
        <v>1382</v>
      </c>
      <c r="H86" t="s">
        <v>209</v>
      </c>
      <c r="I86" t="b">
        <v>0</v>
      </c>
      <c r="J86" t="b">
        <v>0</v>
      </c>
      <c r="K86" t="b">
        <v>0</v>
      </c>
      <c r="L86" t="b">
        <v>1</v>
      </c>
      <c r="M86" t="b">
        <v>1</v>
      </c>
      <c r="N86" t="b">
        <v>0</v>
      </c>
      <c r="O86" t="s">
        <v>1374</v>
      </c>
      <c r="P86" t="b">
        <v>1</v>
      </c>
      <c r="Q86" t="b">
        <v>0</v>
      </c>
      <c r="R86">
        <v>0</v>
      </c>
    </row>
    <row r="87" spans="1:18">
      <c r="B87">
        <v>700107</v>
      </c>
      <c r="C87" t="s">
        <v>1383</v>
      </c>
      <c r="D87" t="s">
        <v>1384</v>
      </c>
      <c r="E87" t="s">
        <v>775</v>
      </c>
      <c r="F87" t="s">
        <v>1385</v>
      </c>
      <c r="G87" t="s">
        <v>1386</v>
      </c>
      <c r="H87" t="s">
        <v>209</v>
      </c>
      <c r="I87" t="b">
        <v>0</v>
      </c>
      <c r="J87" t="b">
        <v>0</v>
      </c>
      <c r="K87" t="b">
        <v>0</v>
      </c>
      <c r="L87" t="b">
        <v>1</v>
      </c>
      <c r="M87" t="b">
        <v>1</v>
      </c>
      <c r="N87" t="b">
        <v>0</v>
      </c>
      <c r="O87" t="s">
        <v>1369</v>
      </c>
      <c r="P87" t="b">
        <v>1</v>
      </c>
      <c r="Q87" t="b">
        <v>0</v>
      </c>
      <c r="R87">
        <v>0</v>
      </c>
    </row>
    <row r="88" spans="1:18">
      <c r="B88">
        <v>700108</v>
      </c>
      <c r="C88" t="s">
        <v>1387</v>
      </c>
      <c r="D88" t="s">
        <v>1388</v>
      </c>
      <c r="E88" t="s">
        <v>775</v>
      </c>
      <c r="F88" t="s">
        <v>1389</v>
      </c>
      <c r="G88" t="s">
        <v>1390</v>
      </c>
      <c r="H88" t="s">
        <v>209</v>
      </c>
      <c r="I88" t="b">
        <v>0</v>
      </c>
      <c r="J88" t="b">
        <v>0</v>
      </c>
      <c r="K88" t="b">
        <v>0</v>
      </c>
      <c r="L88" t="b">
        <v>1</v>
      </c>
      <c r="M88" t="b">
        <v>1</v>
      </c>
      <c r="N88" t="b">
        <v>0</v>
      </c>
      <c r="O88" t="s">
        <v>1374</v>
      </c>
      <c r="P88" t="b">
        <v>1</v>
      </c>
      <c r="Q88" t="b">
        <v>0</v>
      </c>
      <c r="R88">
        <v>0</v>
      </c>
    </row>
    <row r="89" spans="1:18">
      <c r="B89">
        <v>700110</v>
      </c>
      <c r="C89" t="s">
        <v>1391</v>
      </c>
      <c r="D89" t="s">
        <v>1392</v>
      </c>
      <c r="E89" t="s">
        <v>775</v>
      </c>
      <c r="F89" t="s">
        <v>1393</v>
      </c>
      <c r="G89" t="s">
        <v>1394</v>
      </c>
      <c r="H89" t="s">
        <v>209</v>
      </c>
      <c r="I89" t="b">
        <v>0</v>
      </c>
      <c r="J89" t="b">
        <v>0</v>
      </c>
      <c r="K89" t="b">
        <v>0</v>
      </c>
      <c r="L89" t="b">
        <v>1</v>
      </c>
      <c r="M89" t="b">
        <v>1</v>
      </c>
      <c r="N89" t="b">
        <v>0</v>
      </c>
      <c r="O89" t="s">
        <v>1369</v>
      </c>
      <c r="P89" t="b">
        <v>1</v>
      </c>
      <c r="Q89" t="b">
        <v>0</v>
      </c>
      <c r="R89">
        <v>0</v>
      </c>
    </row>
    <row r="90" spans="1:18">
      <c r="B90">
        <v>700111</v>
      </c>
      <c r="C90" t="s">
        <v>1395</v>
      </c>
      <c r="D90" t="s">
        <v>1396</v>
      </c>
      <c r="E90" t="s">
        <v>775</v>
      </c>
      <c r="F90" t="s">
        <v>1397</v>
      </c>
      <c r="G90" t="s">
        <v>1398</v>
      </c>
      <c r="H90" t="s">
        <v>209</v>
      </c>
      <c r="I90" t="b">
        <v>0</v>
      </c>
      <c r="J90" t="b">
        <v>0</v>
      </c>
      <c r="K90" t="b">
        <v>0</v>
      </c>
      <c r="L90" t="b">
        <v>1</v>
      </c>
      <c r="M90" t="b">
        <v>1</v>
      </c>
      <c r="N90" t="b">
        <v>0</v>
      </c>
      <c r="O90" t="s">
        <v>1374</v>
      </c>
      <c r="P90" t="b">
        <v>1</v>
      </c>
      <c r="Q90" t="b">
        <v>0</v>
      </c>
      <c r="R90">
        <v>0</v>
      </c>
    </row>
    <row r="91" spans="1:18">
      <c r="A91" t="s">
        <v>39</v>
      </c>
      <c r="B91" t="s">
        <v>1399</v>
      </c>
      <c r="C91" t="s">
        <v>209</v>
      </c>
      <c r="D91" t="s">
        <v>209</v>
      </c>
      <c r="E91" t="s">
        <v>209</v>
      </c>
      <c r="F91" t="s">
        <v>209</v>
      </c>
      <c r="G91" t="s">
        <v>209</v>
      </c>
      <c r="H91" t="s">
        <v>209</v>
      </c>
      <c r="I91" t="s">
        <v>209</v>
      </c>
      <c r="J91" t="s">
        <v>209</v>
      </c>
      <c r="K91" t="s">
        <v>209</v>
      </c>
      <c r="L91" t="s">
        <v>209</v>
      </c>
      <c r="M91" t="s">
        <v>209</v>
      </c>
      <c r="N91" t="s">
        <v>209</v>
      </c>
      <c r="O91" t="s">
        <v>209</v>
      </c>
      <c r="P91" t="s">
        <v>209</v>
      </c>
      <c r="Q91" t="s">
        <v>209</v>
      </c>
      <c r="R91" t="s">
        <v>209</v>
      </c>
    </row>
    <row r="92" spans="1:18">
      <c r="A92" t="s">
        <v>209</v>
      </c>
      <c r="B92">
        <v>701001</v>
      </c>
      <c r="C92" t="s">
        <v>1400</v>
      </c>
      <c r="D92" t="s">
        <v>1401</v>
      </c>
      <c r="E92" t="s">
        <v>775</v>
      </c>
      <c r="F92" t="s">
        <v>1402</v>
      </c>
      <c r="G92" t="s">
        <v>1264</v>
      </c>
      <c r="H92" t="s">
        <v>209</v>
      </c>
      <c r="I92" t="b">
        <v>0</v>
      </c>
      <c r="J92" t="b">
        <v>0</v>
      </c>
      <c r="K92" t="b">
        <v>0</v>
      </c>
      <c r="L92" t="b">
        <v>1</v>
      </c>
      <c r="M92" t="b">
        <v>1</v>
      </c>
      <c r="N92" t="b">
        <v>0</v>
      </c>
      <c r="O92" t="s">
        <v>1343</v>
      </c>
      <c r="P92" t="b">
        <v>1</v>
      </c>
      <c r="Q92" t="b">
        <v>1</v>
      </c>
      <c r="R92">
        <v>0</v>
      </c>
    </row>
    <row r="93" spans="1:18">
      <c r="A93" t="s">
        <v>39</v>
      </c>
      <c r="B93" t="s">
        <v>1403</v>
      </c>
    </row>
    <row r="94" spans="1:18">
      <c r="B94">
        <v>701101</v>
      </c>
      <c r="C94" t="s">
        <v>1404</v>
      </c>
      <c r="D94" t="s">
        <v>1405</v>
      </c>
      <c r="E94" t="s">
        <v>775</v>
      </c>
      <c r="F94" t="s">
        <v>1406</v>
      </c>
      <c r="G94" t="s">
        <v>1407</v>
      </c>
      <c r="H94" t="s">
        <v>209</v>
      </c>
      <c r="I94" t="b">
        <v>0</v>
      </c>
      <c r="J94" t="b">
        <v>0</v>
      </c>
      <c r="K94" t="b">
        <v>0</v>
      </c>
      <c r="L94" t="b">
        <v>1</v>
      </c>
      <c r="M94" t="b">
        <v>1</v>
      </c>
      <c r="N94" t="b">
        <v>0</v>
      </c>
      <c r="O94" t="s">
        <v>1369</v>
      </c>
      <c r="P94" t="b">
        <v>1</v>
      </c>
      <c r="Q94" t="b">
        <v>0</v>
      </c>
      <c r="R94">
        <v>0</v>
      </c>
    </row>
  </sheetData>
  <conditionalFormatting sqref="I62">
    <cfRule type="cellIs" dxfId="14" priority="50" operator="equal">
      <formula>TRUE</formula>
    </cfRule>
  </conditionalFormatting>
  <conditionalFormatting sqref="N62">
    <cfRule type="cellIs" dxfId="14" priority="48" operator="equal">
      <formula>TRUE</formula>
    </cfRule>
  </conditionalFormatting>
  <conditionalFormatting sqref="P62">
    <cfRule type="containsText" dxfId="15" priority="46" operator="between" text="FALSE">
      <formula>NOT(ISERROR(SEARCH("FALSE",P62)))</formula>
    </cfRule>
  </conditionalFormatting>
  <conditionalFormatting sqref="Q62">
    <cfRule type="cellIs" dxfId="16" priority="47" operator="equal">
      <formula>TRUE</formula>
    </cfRule>
  </conditionalFormatting>
  <conditionalFormatting sqref="I63">
    <cfRule type="cellIs" dxfId="14" priority="45" operator="equal">
      <formula>TRUE</formula>
    </cfRule>
  </conditionalFormatting>
  <conditionalFormatting sqref="N63">
    <cfRule type="cellIs" dxfId="14" priority="43" operator="equal">
      <formula>TRUE</formula>
    </cfRule>
  </conditionalFormatting>
  <conditionalFormatting sqref="P63">
    <cfRule type="containsText" dxfId="15" priority="41" operator="between" text="FALSE">
      <formula>NOT(ISERROR(SEARCH("FALSE",P63)))</formula>
    </cfRule>
  </conditionalFormatting>
  <conditionalFormatting sqref="Q63">
    <cfRule type="cellIs" dxfId="16" priority="42" operator="equal">
      <formula>TRUE</formula>
    </cfRule>
  </conditionalFormatting>
  <conditionalFormatting sqref="I64">
    <cfRule type="cellIs" dxfId="14" priority="30" operator="equal">
      <formula>TRUE</formula>
    </cfRule>
  </conditionalFormatting>
  <conditionalFormatting sqref="N64">
    <cfRule type="cellIs" dxfId="14" priority="28" operator="equal">
      <formula>TRUE</formula>
    </cfRule>
  </conditionalFormatting>
  <conditionalFormatting sqref="P64">
    <cfRule type="containsText" dxfId="15" priority="26" operator="between" text="FALSE">
      <formula>NOT(ISERROR(SEARCH("FALSE",P64)))</formula>
    </cfRule>
  </conditionalFormatting>
  <conditionalFormatting sqref="Q64">
    <cfRule type="cellIs" dxfId="16" priority="27" operator="equal">
      <formula>TRUE</formula>
    </cfRule>
  </conditionalFormatting>
  <conditionalFormatting sqref="I70">
    <cfRule type="cellIs" dxfId="14" priority="40" operator="equal">
      <formula>TRUE</formula>
    </cfRule>
  </conditionalFormatting>
  <conditionalFormatting sqref="N70">
    <cfRule type="cellIs" dxfId="14" priority="38" operator="equal">
      <formula>TRUE</formula>
    </cfRule>
  </conditionalFormatting>
  <conditionalFormatting sqref="P70">
    <cfRule type="containsText" dxfId="15" priority="36" operator="between" text="FALSE">
      <formula>NOT(ISERROR(SEARCH("FALSE",P70)))</formula>
    </cfRule>
  </conditionalFormatting>
  <conditionalFormatting sqref="Q70">
    <cfRule type="cellIs" dxfId="16" priority="37" operator="equal">
      <formula>TRUE</formula>
    </cfRule>
  </conditionalFormatting>
  <conditionalFormatting sqref="I71">
    <cfRule type="cellIs" dxfId="14" priority="35" operator="equal">
      <formula>TRUE</formula>
    </cfRule>
  </conditionalFormatting>
  <conditionalFormatting sqref="N71">
    <cfRule type="cellIs" dxfId="14" priority="33" operator="equal">
      <formula>TRUE</formula>
    </cfRule>
  </conditionalFormatting>
  <conditionalFormatting sqref="P71">
    <cfRule type="containsText" dxfId="15" priority="31" operator="between" text="FALSE">
      <formula>NOT(ISERROR(SEARCH("FALSE",P71)))</formula>
    </cfRule>
  </conditionalFormatting>
  <conditionalFormatting sqref="Q71">
    <cfRule type="cellIs" dxfId="16" priority="32" operator="equal">
      <formula>TRUE</formula>
    </cfRule>
  </conditionalFormatting>
  <conditionalFormatting sqref="I72">
    <cfRule type="cellIs" dxfId="14" priority="25" operator="equal">
      <formula>TRUE</formula>
    </cfRule>
  </conditionalFormatting>
  <conditionalFormatting sqref="N72">
    <cfRule type="cellIs" dxfId="14" priority="23" operator="equal">
      <formula>TRUE</formula>
    </cfRule>
  </conditionalFormatting>
  <conditionalFormatting sqref="P72">
    <cfRule type="containsText" dxfId="15" priority="21" operator="between" text="FALSE">
      <formula>NOT(ISERROR(SEARCH("FALSE",P72)))</formula>
    </cfRule>
  </conditionalFormatting>
  <conditionalFormatting sqref="Q72">
    <cfRule type="cellIs" dxfId="16" priority="22" operator="equal">
      <formula>TRUE</formula>
    </cfRule>
  </conditionalFormatting>
  <conditionalFormatting sqref="I13:I16">
    <cfRule type="cellIs" dxfId="14" priority="10" operator="equal">
      <formula>TRUE</formula>
    </cfRule>
  </conditionalFormatting>
  <conditionalFormatting sqref="I17:I20">
    <cfRule type="cellIs" dxfId="14" priority="5" operator="equal">
      <formula>TRUE</formula>
    </cfRule>
  </conditionalFormatting>
  <conditionalFormatting sqref="N13:N16">
    <cfRule type="cellIs" dxfId="14" priority="8" operator="equal">
      <formula>TRUE</formula>
    </cfRule>
  </conditionalFormatting>
  <conditionalFormatting sqref="N17:N20">
    <cfRule type="cellIs" dxfId="14" priority="3" operator="equal">
      <formula>TRUE</formula>
    </cfRule>
  </conditionalFormatting>
  <conditionalFormatting sqref="P13:P16">
    <cfRule type="containsText" dxfId="15" priority="6" operator="between" text="FALSE">
      <formula>NOT(ISERROR(SEARCH("FALSE",P13)))</formula>
    </cfRule>
  </conditionalFormatting>
  <conditionalFormatting sqref="P17:P20">
    <cfRule type="containsText" dxfId="15" priority="1" operator="between" text="FALSE">
      <formula>NOT(ISERROR(SEARCH("FALSE",P17)))</formula>
    </cfRule>
  </conditionalFormatting>
  <conditionalFormatting sqref="Q13:Q16">
    <cfRule type="cellIs" dxfId="16" priority="7" operator="equal">
      <formula>TRUE</formula>
    </cfRule>
  </conditionalFormatting>
  <conditionalFormatting sqref="Q17:Q20">
    <cfRule type="cellIs" dxfId="16" priority="2" operator="equal">
      <formula>TRUE</formula>
    </cfRule>
  </conditionalFormatting>
  <conditionalFormatting sqref="I1:I12 I21:I61 I65:I69 I73:I1048576">
    <cfRule type="cellIs" dxfId="14" priority="55" operator="equal">
      <formula>TRUE</formula>
    </cfRule>
  </conditionalFormatting>
  <conditionalFormatting sqref="N1:N12 N21:N61 N65:N69 N73:N1048576">
    <cfRule type="cellIs" dxfId="14" priority="53" operator="equal">
      <formula>TRUE</formula>
    </cfRule>
  </conditionalFormatting>
  <conditionalFormatting sqref="P1:P12 P21:P61 P65:P69 P73:P1048576">
    <cfRule type="containsText" dxfId="15" priority="51" operator="between" text="FALSE">
      <formula>NOT(ISERROR(SEARCH("FALSE",P1)))</formula>
    </cfRule>
  </conditionalFormatting>
  <conditionalFormatting sqref="Q1:Q12 Q21:Q61 Q65:Q69 Q73:Q1048576">
    <cfRule type="cellIs" dxfId="16" priority="52" operator="equal">
      <formula>TRUE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9" operator="containsText" id="{1f2f65b8-84f7-4abb-b4ab-e76391d86592}">
            <xm:f>NOT(ISERROR(SEARCH(FALSE,L62)))</xm:f>
            <xm:f>FALSE</xm:f>
            <x14:dxf>
              <fill>
                <patternFill patternType="solid">
                  <bgColor theme="6" tint="0.6"/>
                </patternFill>
              </fill>
            </x14:dxf>
          </x14:cfRule>
          <xm:sqref>L62</xm:sqref>
        </x14:conditionalFormatting>
        <x14:conditionalFormatting xmlns:xm="http://schemas.microsoft.com/office/excel/2006/main">
          <x14:cfRule type="containsText" priority="44" operator="containsText" id="{752aede5-0836-471a-8f75-7c1f7c6fd7f9}">
            <xm:f>NOT(ISERROR(SEARCH(FALSE,L63)))</xm:f>
            <xm:f>FALSE</xm:f>
            <x14:dxf>
              <fill>
                <patternFill patternType="solid">
                  <bgColor theme="6" tint="0.6"/>
                </patternFill>
              </fill>
            </x14:dxf>
          </x14:cfRule>
          <xm:sqref>L63</xm:sqref>
        </x14:conditionalFormatting>
        <x14:conditionalFormatting xmlns:xm="http://schemas.microsoft.com/office/excel/2006/main">
          <x14:cfRule type="containsText" priority="29" operator="containsText" id="{8a3dec2d-f6fe-4512-9623-33bd0a254a9a}">
            <xm:f>NOT(ISERROR(SEARCH(FALSE,L64)))</xm:f>
            <xm:f>FALSE</xm:f>
            <x14:dxf>
              <fill>
                <patternFill patternType="solid">
                  <bgColor theme="6" tint="0.6"/>
                </patternFill>
              </fill>
            </x14:dxf>
          </x14:cfRule>
          <xm:sqref>L64</xm:sqref>
        </x14:conditionalFormatting>
        <x14:conditionalFormatting xmlns:xm="http://schemas.microsoft.com/office/excel/2006/main">
          <x14:cfRule type="containsText" priority="39" operator="containsText" id="{19ad3260-f832-4893-a669-0c1479b0ef5f}">
            <xm:f>NOT(ISERROR(SEARCH(FALSE,L70)))</xm:f>
            <xm:f>FALSE</xm:f>
            <x14:dxf>
              <fill>
                <patternFill patternType="solid">
                  <bgColor theme="6" tint="0.6"/>
                </patternFill>
              </fill>
            </x14:dxf>
          </x14:cfRule>
          <xm:sqref>L70</xm:sqref>
        </x14:conditionalFormatting>
        <x14:conditionalFormatting xmlns:xm="http://schemas.microsoft.com/office/excel/2006/main">
          <x14:cfRule type="containsText" priority="34" operator="containsText" id="{844be943-525f-4fe5-95fc-3a6f243a674e}">
            <xm:f>NOT(ISERROR(SEARCH(FALSE,L71)))</xm:f>
            <xm:f>FALSE</xm:f>
            <x14:dxf>
              <fill>
                <patternFill patternType="solid">
                  <bgColor theme="6" tint="0.6"/>
                </patternFill>
              </fill>
            </x14:dxf>
          </x14:cfRule>
          <xm:sqref>L71</xm:sqref>
        </x14:conditionalFormatting>
        <x14:conditionalFormatting xmlns:xm="http://schemas.microsoft.com/office/excel/2006/main">
          <x14:cfRule type="containsText" priority="24" operator="containsText" id="{a4a4377e-39b6-499b-8679-48178d0f0594}">
            <xm:f>NOT(ISERROR(SEARCH(FALSE,L72)))</xm:f>
            <xm:f>FALSE</xm:f>
            <x14:dxf>
              <fill>
                <patternFill patternType="solid">
                  <bgColor theme="6" tint="0.6"/>
                </patternFill>
              </fill>
            </x14:dxf>
          </x14:cfRule>
          <xm:sqref>L72</xm:sqref>
        </x14:conditionalFormatting>
        <x14:conditionalFormatting xmlns:xm="http://schemas.microsoft.com/office/excel/2006/main">
          <x14:cfRule type="containsText" priority="9" operator="containsText" id="{59456909-59a9-4470-a7cd-2aaf30496b60}">
            <xm:f>NOT(ISERROR(SEARCH(FALSE,L13)))</xm:f>
            <xm:f>FALSE</xm:f>
            <x14:dxf>
              <fill>
                <patternFill patternType="solid">
                  <bgColor theme="6" tint="0.6"/>
                </patternFill>
              </fill>
            </x14:dxf>
          </x14:cfRule>
          <xm:sqref>L13:L16</xm:sqref>
        </x14:conditionalFormatting>
        <x14:conditionalFormatting xmlns:xm="http://schemas.microsoft.com/office/excel/2006/main">
          <x14:cfRule type="containsText" priority="4" operator="containsText" id="{ede9442d-536c-4e57-825a-016dc13975b5}">
            <xm:f>NOT(ISERROR(SEARCH(FALSE,L17)))</xm:f>
            <xm:f>FALSE</xm:f>
            <x14:dxf>
              <fill>
                <patternFill patternType="solid">
                  <bgColor theme="6" tint="0.6"/>
                </patternFill>
              </fill>
            </x14:dxf>
          </x14:cfRule>
          <xm:sqref>L17:L20</xm:sqref>
        </x14:conditionalFormatting>
        <x14:conditionalFormatting xmlns:xm="http://schemas.microsoft.com/office/excel/2006/main">
          <x14:cfRule type="containsText" priority="54" operator="containsText" id="{52aeb0ed-bb8b-4f17-ac77-e31ad6fde35d}">
            <xm:f>NOT(ISERROR(SEARCH(FALSE,L1)))</xm:f>
            <xm:f>FALSE</xm:f>
            <x14:dxf>
              <fill>
                <patternFill patternType="solid">
                  <bgColor theme="6" tint="0.6"/>
                </patternFill>
              </fill>
            </x14:dxf>
          </x14:cfRule>
          <xm:sqref>L1:L12 L21:L61 L65:L69 L73:L1048576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"/>
  <sheetViews>
    <sheetView topLeftCell="B9" workbookViewId="0">
      <selection activeCell="L20" sqref="L20"/>
    </sheetView>
  </sheetViews>
  <sheetFormatPr defaultColWidth="8.66666666666667" defaultRowHeight="17.4" outlineLevelCol="6"/>
  <cols>
    <col min="3" max="3" width="14.0833333333333" customWidth="1"/>
    <col min="5" max="5" width="25.5" style="1" customWidth="1"/>
    <col min="6" max="6" width="17.4166666666667" style="2" customWidth="1"/>
    <col min="7" max="7" width="22.75" customWidth="1"/>
  </cols>
  <sheetData>
    <row r="1" spans="1:7">
      <c r="A1" s="3" t="s">
        <v>0</v>
      </c>
      <c r="B1" t="s">
        <v>1</v>
      </c>
      <c r="C1" t="s">
        <v>1408</v>
      </c>
      <c r="D1" t="s">
        <v>1409</v>
      </c>
      <c r="E1" s="1" t="s">
        <v>1095</v>
      </c>
      <c r="F1" s="2" t="s">
        <v>1410</v>
      </c>
      <c r="G1" t="s">
        <v>1411</v>
      </c>
    </row>
    <row r="2" spans="1:7">
      <c r="A2" s="4" t="s">
        <v>28</v>
      </c>
      <c r="B2" t="s">
        <v>29</v>
      </c>
      <c r="C2" t="s">
        <v>29</v>
      </c>
      <c r="D2" t="s">
        <v>29</v>
      </c>
      <c r="E2" s="1" t="s">
        <v>30</v>
      </c>
      <c r="F2" s="2" t="s">
        <v>30</v>
      </c>
      <c r="G2" t="s">
        <v>30</v>
      </c>
    </row>
    <row r="3" spans="1:7">
      <c r="A3" s="2" t="s">
        <v>39</v>
      </c>
      <c r="B3" s="2" t="s">
        <v>209</v>
      </c>
      <c r="C3" s="2" t="s">
        <v>209</v>
      </c>
      <c r="D3" s="2" t="s">
        <v>209</v>
      </c>
      <c r="E3" s="1" t="s">
        <v>209</v>
      </c>
      <c r="F3" s="2" t="s">
        <v>209</v>
      </c>
      <c r="G3" t="s">
        <v>209</v>
      </c>
    </row>
    <row r="4" spans="1:7">
      <c r="A4" s="3" t="s">
        <v>39</v>
      </c>
      <c r="B4" s="5" t="s">
        <v>711</v>
      </c>
      <c r="C4" s="5" t="s">
        <v>1412</v>
      </c>
      <c r="D4" s="5" t="s">
        <v>1413</v>
      </c>
      <c r="E4" s="6" t="s">
        <v>1414</v>
      </c>
      <c r="F4" s="7" t="s">
        <v>750</v>
      </c>
      <c r="G4" s="8" t="s">
        <v>752</v>
      </c>
    </row>
    <row r="5" ht="87" spans="1:7">
      <c r="A5" t="s">
        <v>209</v>
      </c>
      <c r="B5">
        <v>1001</v>
      </c>
      <c r="C5">
        <v>100000</v>
      </c>
      <c r="D5">
        <v>199999</v>
      </c>
      <c r="E5" s="1" t="s">
        <v>1415</v>
      </c>
      <c r="F5" s="2" t="s">
        <v>751</v>
      </c>
      <c r="G5" s="5" t="s">
        <v>1416</v>
      </c>
    </row>
    <row r="6" ht="52.2" spans="1:7">
      <c r="A6" t="s">
        <v>209</v>
      </c>
      <c r="B6">
        <v>1002</v>
      </c>
      <c r="C6">
        <v>200000</v>
      </c>
      <c r="D6">
        <v>299999</v>
      </c>
      <c r="E6" s="1" t="s">
        <v>1417</v>
      </c>
      <c r="F6" s="2" t="s">
        <v>1418</v>
      </c>
      <c r="G6" t="s">
        <v>1419</v>
      </c>
    </row>
    <row r="7" ht="87" spans="1:7">
      <c r="A7" s="9" t="s">
        <v>39</v>
      </c>
      <c r="B7" s="9">
        <v>1003</v>
      </c>
      <c r="C7" s="9">
        <v>201000</v>
      </c>
      <c r="D7" s="9">
        <v>229999</v>
      </c>
      <c r="E7" s="10" t="s">
        <v>1420</v>
      </c>
      <c r="F7" s="11" t="s">
        <v>1421</v>
      </c>
      <c r="G7" s="12" t="s">
        <v>1422</v>
      </c>
    </row>
    <row r="8" ht="84" customHeight="1" spans="1:7">
      <c r="B8">
        <v>1003</v>
      </c>
      <c r="C8">
        <v>201000</v>
      </c>
      <c r="D8">
        <v>209999</v>
      </c>
      <c r="E8" s="1" t="s">
        <v>1423</v>
      </c>
      <c r="F8" s="2" t="s">
        <v>1424</v>
      </c>
      <c r="G8" s="5" t="s">
        <v>1425</v>
      </c>
    </row>
    <row r="9" ht="65" customHeight="1" spans="1:7">
      <c r="A9" t="s">
        <v>209</v>
      </c>
      <c r="B9">
        <v>1004</v>
      </c>
      <c r="C9">
        <v>210000</v>
      </c>
      <c r="D9">
        <v>299999</v>
      </c>
      <c r="E9" s="1" t="s">
        <v>1426</v>
      </c>
      <c r="F9" s="2" t="s">
        <v>1427</v>
      </c>
      <c r="G9" t="s">
        <v>1428</v>
      </c>
    </row>
    <row r="10" ht="69.6" spans="1:7">
      <c r="A10" s="9" t="s">
        <v>39</v>
      </c>
      <c r="B10" s="9">
        <v>1005</v>
      </c>
      <c r="C10" s="9">
        <v>300000</v>
      </c>
      <c r="D10" s="9">
        <v>399999</v>
      </c>
      <c r="E10" s="10" t="s">
        <v>1429</v>
      </c>
      <c r="F10" s="11" t="s">
        <v>1430</v>
      </c>
      <c r="G10" s="9" t="s">
        <v>1431</v>
      </c>
    </row>
    <row r="11" ht="67" customHeight="1" spans="1:7">
      <c r="B11">
        <v>1005</v>
      </c>
      <c r="C11">
        <v>300000</v>
      </c>
      <c r="D11">
        <v>399999</v>
      </c>
      <c r="E11" s="1" t="s">
        <v>1432</v>
      </c>
      <c r="F11" s="2" t="s">
        <v>1433</v>
      </c>
      <c r="G11" t="s">
        <v>1431</v>
      </c>
    </row>
    <row r="12" ht="34.8" spans="1:7">
      <c r="A12" s="9" t="s">
        <v>39</v>
      </c>
      <c r="B12" s="9">
        <v>1006</v>
      </c>
      <c r="C12" s="9">
        <v>301000</v>
      </c>
      <c r="D12" s="9">
        <v>301999</v>
      </c>
      <c r="E12" s="10" t="s">
        <v>1434</v>
      </c>
      <c r="F12" s="11" t="s">
        <v>1435</v>
      </c>
      <c r="G12" s="9" t="s">
        <v>1436</v>
      </c>
    </row>
    <row r="13" ht="60" customHeight="1" spans="1:7">
      <c r="B13">
        <v>1006</v>
      </c>
      <c r="C13">
        <v>301000</v>
      </c>
      <c r="D13">
        <v>301999</v>
      </c>
      <c r="E13" s="1" t="s">
        <v>1437</v>
      </c>
      <c r="F13" s="2" t="s">
        <v>1438</v>
      </c>
      <c r="G13" t="s">
        <v>1436</v>
      </c>
    </row>
    <row r="14" ht="34.8" spans="1:7">
      <c r="A14" t="s">
        <v>209</v>
      </c>
      <c r="B14">
        <v>1007</v>
      </c>
      <c r="C14">
        <v>302000</v>
      </c>
      <c r="D14">
        <v>302999</v>
      </c>
      <c r="E14" s="1" t="s">
        <v>1439</v>
      </c>
      <c r="F14" s="2" t="s">
        <v>1440</v>
      </c>
      <c r="G14" t="s">
        <v>1441</v>
      </c>
    </row>
    <row r="15" ht="34.8" spans="1:7">
      <c r="A15" t="s">
        <v>209</v>
      </c>
      <c r="B15">
        <v>1008</v>
      </c>
      <c r="C15">
        <v>303000</v>
      </c>
      <c r="D15">
        <v>399999</v>
      </c>
      <c r="E15" s="1" t="s">
        <v>1442</v>
      </c>
      <c r="F15" s="2" t="s">
        <v>1443</v>
      </c>
      <c r="G15" t="s">
        <v>1444</v>
      </c>
    </row>
    <row r="16" ht="87" spans="1:7">
      <c r="A16" t="s">
        <v>209</v>
      </c>
      <c r="B16">
        <v>1009</v>
      </c>
      <c r="C16">
        <v>400000</v>
      </c>
      <c r="D16">
        <v>499999</v>
      </c>
      <c r="E16" s="1" t="s">
        <v>1445</v>
      </c>
      <c r="F16" s="2" t="s">
        <v>1446</v>
      </c>
      <c r="G16" t="s">
        <v>1447</v>
      </c>
    </row>
    <row r="17" ht="52.2" spans="1:7">
      <c r="A17" t="s">
        <v>209</v>
      </c>
      <c r="B17">
        <v>1010</v>
      </c>
      <c r="C17">
        <v>400000</v>
      </c>
      <c r="D17">
        <v>409999</v>
      </c>
      <c r="E17" s="1" t="s">
        <v>1448</v>
      </c>
      <c r="F17" s="2" t="s">
        <v>1449</v>
      </c>
      <c r="G17" t="s">
        <v>1450</v>
      </c>
    </row>
    <row r="18" ht="52.2" spans="1:7">
      <c r="A18" t="s">
        <v>209</v>
      </c>
      <c r="B18">
        <v>1011</v>
      </c>
      <c r="C18">
        <v>410000</v>
      </c>
      <c r="D18">
        <v>499999</v>
      </c>
      <c r="E18" s="6" t="s">
        <v>1451</v>
      </c>
      <c r="F18" s="2" t="s">
        <v>1452</v>
      </c>
      <c r="G18" t="s">
        <v>1453</v>
      </c>
    </row>
    <row r="19" ht="52.2" spans="1:7">
      <c r="A19" t="s">
        <v>209</v>
      </c>
      <c r="B19">
        <v>1012</v>
      </c>
      <c r="C19">
        <v>500000</v>
      </c>
      <c r="D19">
        <v>599999</v>
      </c>
      <c r="E19" s="6" t="s">
        <v>1454</v>
      </c>
      <c r="F19" s="2" t="s">
        <v>1455</v>
      </c>
      <c r="G19" t="s">
        <v>1456</v>
      </c>
    </row>
    <row r="20" ht="52.2" spans="1:7">
      <c r="B20">
        <v>1033</v>
      </c>
      <c r="C20">
        <v>500001</v>
      </c>
      <c r="D20">
        <v>500999</v>
      </c>
      <c r="E20" s="6" t="s">
        <v>1457</v>
      </c>
      <c r="F20" s="2" t="s">
        <v>1458</v>
      </c>
      <c r="G20" t="s">
        <v>1459</v>
      </c>
    </row>
    <row r="21" ht="34.8" spans="1:7">
      <c r="A21" t="s">
        <v>209</v>
      </c>
      <c r="B21">
        <v>1013</v>
      </c>
      <c r="C21">
        <v>501000</v>
      </c>
      <c r="D21">
        <v>501999</v>
      </c>
      <c r="E21" s="6" t="s">
        <v>1460</v>
      </c>
      <c r="F21" s="2" t="s">
        <v>1461</v>
      </c>
      <c r="G21" t="s">
        <v>1462</v>
      </c>
    </row>
    <row r="22" ht="34.8" spans="1:7">
      <c r="A22" t="s">
        <v>209</v>
      </c>
      <c r="B22">
        <v>1014</v>
      </c>
      <c r="C22">
        <v>502000</v>
      </c>
      <c r="D22">
        <v>502999</v>
      </c>
      <c r="E22" s="1" t="s">
        <v>1463</v>
      </c>
      <c r="F22" s="2" t="s">
        <v>1464</v>
      </c>
      <c r="G22" t="s">
        <v>1465</v>
      </c>
    </row>
    <row r="23" ht="34.8" spans="1:7">
      <c r="A23" t="s">
        <v>209</v>
      </c>
      <c r="B23">
        <v>1015</v>
      </c>
      <c r="C23">
        <v>503000</v>
      </c>
      <c r="D23">
        <v>599999</v>
      </c>
      <c r="E23" s="6" t="s">
        <v>1466</v>
      </c>
      <c r="F23" s="2" t="s">
        <v>1467</v>
      </c>
      <c r="G23" t="s">
        <v>1468</v>
      </c>
    </row>
    <row r="24" ht="87" spans="1:7">
      <c r="A24" t="s">
        <v>209</v>
      </c>
      <c r="B24">
        <v>1016</v>
      </c>
      <c r="C24">
        <v>600000</v>
      </c>
      <c r="D24">
        <v>699999</v>
      </c>
      <c r="E24" s="6" t="s">
        <v>1469</v>
      </c>
      <c r="F24" s="2" t="s">
        <v>1470</v>
      </c>
      <c r="G24" t="s">
        <v>1471</v>
      </c>
    </row>
    <row r="25" ht="34.8" spans="1:7">
      <c r="A25" t="s">
        <v>209</v>
      </c>
      <c r="B25">
        <v>1017</v>
      </c>
      <c r="C25">
        <v>601000</v>
      </c>
      <c r="D25">
        <v>601999</v>
      </c>
      <c r="E25" s="6" t="s">
        <v>1472</v>
      </c>
      <c r="F25" s="2" t="s">
        <v>1473</v>
      </c>
      <c r="G25" t="s">
        <v>1474</v>
      </c>
    </row>
    <row r="26" ht="34.8" spans="1:7">
      <c r="A26" t="s">
        <v>209</v>
      </c>
      <c r="B26">
        <v>1018</v>
      </c>
      <c r="C26">
        <v>602000</v>
      </c>
      <c r="D26">
        <v>602999</v>
      </c>
      <c r="E26" s="6" t="s">
        <v>1475</v>
      </c>
      <c r="F26" s="2" t="s">
        <v>1476</v>
      </c>
      <c r="G26" t="s">
        <v>1477</v>
      </c>
    </row>
    <row r="27" ht="34.8" spans="1:7">
      <c r="A27" t="s">
        <v>209</v>
      </c>
      <c r="B27">
        <v>1019</v>
      </c>
      <c r="C27">
        <v>603000</v>
      </c>
      <c r="D27">
        <v>603999</v>
      </c>
      <c r="E27" s="6" t="s">
        <v>1478</v>
      </c>
      <c r="F27" s="2" t="s">
        <v>1479</v>
      </c>
      <c r="G27" t="s">
        <v>1480</v>
      </c>
    </row>
    <row r="28" ht="34.8" spans="1:7">
      <c r="A28" t="s">
        <v>209</v>
      </c>
      <c r="B28">
        <v>1020</v>
      </c>
      <c r="C28">
        <v>604000</v>
      </c>
      <c r="D28">
        <v>699999</v>
      </c>
      <c r="E28" s="6" t="s">
        <v>1481</v>
      </c>
      <c r="F28" s="2" t="s">
        <v>1482</v>
      </c>
      <c r="G28" t="s">
        <v>1483</v>
      </c>
    </row>
    <row r="29" ht="34.8" spans="1:7">
      <c r="A29" t="s">
        <v>209</v>
      </c>
      <c r="B29">
        <v>1021</v>
      </c>
      <c r="C29">
        <v>700000</v>
      </c>
      <c r="D29">
        <v>799999</v>
      </c>
      <c r="E29" s="6" t="s">
        <v>1484</v>
      </c>
      <c r="F29" s="2" t="s">
        <v>1485</v>
      </c>
      <c r="G29" t="s">
        <v>1486</v>
      </c>
    </row>
    <row r="30" ht="52.2" spans="1:7">
      <c r="A30" t="s">
        <v>209</v>
      </c>
      <c r="B30">
        <v>1022</v>
      </c>
      <c r="C30">
        <v>700000</v>
      </c>
      <c r="D30">
        <v>709999</v>
      </c>
      <c r="E30" s="1" t="s">
        <v>1487</v>
      </c>
      <c r="F30" s="2" t="s">
        <v>1488</v>
      </c>
      <c r="G30" t="s">
        <v>1489</v>
      </c>
    </row>
    <row r="31" ht="34.8" spans="1:7">
      <c r="A31" s="9" t="s">
        <v>39</v>
      </c>
      <c r="B31" s="9">
        <v>1023</v>
      </c>
      <c r="C31" s="9">
        <v>700000</v>
      </c>
      <c r="D31" s="9">
        <v>700999</v>
      </c>
      <c r="E31" s="13" t="s">
        <v>1490</v>
      </c>
      <c r="F31" s="11" t="s">
        <v>1491</v>
      </c>
      <c r="G31" s="9" t="s">
        <v>1492</v>
      </c>
    </row>
    <row r="32" ht="52.2" spans="1:7">
      <c r="B32">
        <v>1023</v>
      </c>
      <c r="C32">
        <v>700000</v>
      </c>
      <c r="D32">
        <v>700999</v>
      </c>
      <c r="E32" s="6" t="s">
        <v>1493</v>
      </c>
      <c r="F32" s="2" t="s">
        <v>1494</v>
      </c>
      <c r="G32" t="s">
        <v>1495</v>
      </c>
    </row>
    <row r="33" ht="34.8" spans="1:7">
      <c r="B33">
        <v>1029</v>
      </c>
      <c r="C33">
        <v>700000</v>
      </c>
      <c r="D33">
        <v>700099</v>
      </c>
      <c r="E33" s="2" t="s">
        <v>1496</v>
      </c>
      <c r="F33" s="2" t="s">
        <v>1497</v>
      </c>
      <c r="G33" t="s">
        <v>1498</v>
      </c>
    </row>
    <row r="34" ht="34.8" spans="1:7">
      <c r="B34">
        <v>1030</v>
      </c>
      <c r="C34">
        <v>700100</v>
      </c>
      <c r="D34">
        <v>700999</v>
      </c>
      <c r="E34" s="2" t="s">
        <v>1499</v>
      </c>
      <c r="F34" s="2" t="s">
        <v>1500</v>
      </c>
      <c r="G34" t="s">
        <v>1501</v>
      </c>
    </row>
    <row r="35" ht="34.8" spans="1:7">
      <c r="A35" s="9" t="s">
        <v>39</v>
      </c>
      <c r="B35" s="9">
        <v>1024</v>
      </c>
      <c r="C35" s="9">
        <v>701000</v>
      </c>
      <c r="D35" s="9">
        <v>701999</v>
      </c>
      <c r="E35" s="13" t="s">
        <v>1502</v>
      </c>
      <c r="F35" s="11" t="s">
        <v>1503</v>
      </c>
      <c r="G35" s="9" t="s">
        <v>1504</v>
      </c>
    </row>
    <row r="36" ht="71" customHeight="1" spans="1:7">
      <c r="B36">
        <v>1024</v>
      </c>
      <c r="C36">
        <v>701000</v>
      </c>
      <c r="D36">
        <v>701999</v>
      </c>
      <c r="E36" s="6" t="s">
        <v>1505</v>
      </c>
      <c r="F36" s="2" t="s">
        <v>1506</v>
      </c>
      <c r="G36" t="s">
        <v>1507</v>
      </c>
    </row>
    <row r="37" ht="71" customHeight="1" spans="1:7">
      <c r="B37">
        <v>1031</v>
      </c>
      <c r="C37">
        <v>701000</v>
      </c>
      <c r="D37">
        <v>701099</v>
      </c>
      <c r="E37" s="2" t="s">
        <v>1508</v>
      </c>
      <c r="F37" s="2" t="s">
        <v>1509</v>
      </c>
      <c r="G37" t="s">
        <v>1510</v>
      </c>
    </row>
    <row r="38" ht="71" customHeight="1" spans="1:7">
      <c r="B38">
        <v>1032</v>
      </c>
      <c r="C38">
        <v>701100</v>
      </c>
      <c r="D38">
        <v>701999</v>
      </c>
      <c r="E38" s="2" t="s">
        <v>1511</v>
      </c>
      <c r="F38" s="2" t="s">
        <v>1503</v>
      </c>
      <c r="G38" t="s">
        <v>1512</v>
      </c>
    </row>
    <row r="39" ht="34.8" spans="1:7">
      <c r="A39" t="s">
        <v>209</v>
      </c>
      <c r="B39">
        <v>1025</v>
      </c>
      <c r="C39">
        <v>702000</v>
      </c>
      <c r="D39">
        <v>709999</v>
      </c>
      <c r="E39" s="6" t="s">
        <v>1513</v>
      </c>
      <c r="F39" s="2" t="s">
        <v>1514</v>
      </c>
      <c r="G39" t="s">
        <v>1515</v>
      </c>
    </row>
    <row r="40" ht="34.8" spans="1:7">
      <c r="A40" t="s">
        <v>209</v>
      </c>
      <c r="B40">
        <v>1026</v>
      </c>
      <c r="C40">
        <v>710000</v>
      </c>
      <c r="D40">
        <v>799999</v>
      </c>
      <c r="E40" s="1" t="s">
        <v>1516</v>
      </c>
      <c r="F40" s="2" t="s">
        <v>1517</v>
      </c>
      <c r="G40" t="s">
        <v>1518</v>
      </c>
    </row>
    <row r="41" ht="34.8" spans="1:7">
      <c r="A41" t="s">
        <v>209</v>
      </c>
      <c r="B41">
        <v>1027</v>
      </c>
      <c r="C41">
        <v>800000</v>
      </c>
      <c r="D41">
        <v>999999</v>
      </c>
      <c r="E41" s="6" t="s">
        <v>1519</v>
      </c>
      <c r="F41" s="2" t="s">
        <v>1520</v>
      </c>
      <c r="G41" t="s">
        <v>783</v>
      </c>
    </row>
    <row r="42" ht="34.8" spans="1:7">
      <c r="A42" t="s">
        <v>209</v>
      </c>
      <c r="B42">
        <v>1028</v>
      </c>
      <c r="C42">
        <v>1</v>
      </c>
      <c r="D42">
        <v>99999</v>
      </c>
      <c r="E42" s="6" t="s">
        <v>1521</v>
      </c>
      <c r="F42" s="2" t="s">
        <v>1522</v>
      </c>
      <c r="G42" t="s">
        <v>1523</v>
      </c>
    </row>
    <row r="43" spans="1:7">
      <c r="E43" s="2"/>
    </row>
    <row r="48" spans="1:7">
      <c r="E48" s="6"/>
    </row>
    <row r="49" spans="5:5">
      <c r="E49" s="6"/>
    </row>
    <row r="50" spans="5:5">
      <c r="E50" s="6"/>
    </row>
    <row r="51" spans="5:5">
      <c r="E51" s="6"/>
    </row>
    <row r="53" spans="5:5">
      <c r="E53" s="6"/>
    </row>
    <row r="54" spans="5:5">
      <c r="E54" s="6"/>
    </row>
    <row r="55" spans="5:5">
      <c r="E55" s="6"/>
    </row>
    <row r="57" spans="5:5">
      <c r="E57" s="6"/>
    </row>
    <row r="58" spans="5:5">
      <c r="E5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Item</vt:lpstr>
      <vt:lpstr>表说明</vt:lpstr>
      <vt:lpstr>BlindBox</vt:lpstr>
      <vt:lpstr>BlindBoxSchedule</vt:lpstr>
      <vt:lpstr>BlindBoxRarityRate</vt:lpstr>
      <vt:lpstr>BlindBoxItemWeight</vt:lpstr>
      <vt:lpstr>BlindBoxRevealPath</vt:lpstr>
      <vt:lpstr>BlindBoxVisual</vt:lpstr>
      <vt:lpstr>RefreshmentConfig</vt:lpstr>
      <vt:lpstr>TabGroup</vt:lpstr>
      <vt:lpstr>EquipmentSlotConfig</vt:lpstr>
      <vt:lpstr>LinkTree</vt:lpstr>
      <vt:lpstr>SteamItemDef</vt:lpstr>
      <vt:lpstr>SteamItemDefIdRange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</dc:creator>
  <cp:lastModifiedBy>Seanan</cp:lastModifiedBy>
  <dcterms:created xsi:type="dcterms:W3CDTF">2026-06-14T11:12:00Z</dcterms:created>
  <dcterms:modified xsi:type="dcterms:W3CDTF">2026-10-22T16:43:23Z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1F20D7C892D143F99397549CE570CB56_11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