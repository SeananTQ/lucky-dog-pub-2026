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<sst xmlns="http://schemas.openxmlformats.org/spreadsheetml/2006/main" count="4238" uniqueCount="1524">
  <si>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</si>
  <si>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</si>
  <si>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</si>
  <si>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</si>
  <si>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</si>
  <si>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</si>
  <si>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</si>
  <si>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</si>
  <si>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</si>
  <si>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</si>
  <si>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</si>
  <si>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</si>
  <si>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</si>
  <si>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</si>
  <si>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</si>
  <si>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</si>
  <si>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</si>
  <si>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</si>
  <si>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</si>
  <si>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</si>
  <si>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</si>
  <si>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</si>
  <si>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</si>
  <si>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</si>
  <si>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</si>
  <si>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</si>
  <si>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</si>
  <si>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</si>
  <si>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</si>
  <si>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</si>
  <si>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</si>
  <si>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</si>
  <si>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</si>
  <si>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</si>
  <si>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</si>
  <si>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</si>
  <si>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</si>
  <si>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</si>
  <si>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</si>
  <si>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</si>
  <si>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</si>
  <si>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</si>
  <si>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</si>
  <si>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</si>
  <si>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</si>
  <si>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</si>
  <si>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</si>
  <si>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</si>
  <si>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</si>
  <si>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</si>
  <si>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</si>
  <si>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</si>
  <si>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</si>
  <si>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</si>
  <si>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</si>
  <si>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</si>
  <si>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</si>
  <si>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</si>
  <si>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</si>
  <si>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</si>
  <si>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</si>
  <si>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</si>
  <si>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</si>
  <si>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</si>
  <si>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</si>
  <si>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</si>
  <si>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</si>
  <si>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</si>
  <si>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</si>
  <si>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</si>
  <si>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</si>
  <si>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</si>
  <si>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</si>
  <si>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</si>
  <si>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</si>
  <si>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</si>
  <si>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</si>
  <si>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</si>
  <si>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</si>
  <si>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</si>
  <si>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</si>
  <si>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</si>
  <si>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</si>
  <si>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</si>
  <si>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</si>
  <si>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</si>
  <si>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</si>
  <si>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</si>
  <si>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</si>
  <si>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</si>
  <si>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</si>
  <si>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</si>
  <si>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</si>
  <si>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</si>
  <si>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</si>
  <si>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</si>
  <si>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</si>
  <si>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</si>
  <si>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</si>
  <si>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</si>
  <si>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</si>
  <si>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</si>
  <si>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</si>
  <si>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</si>
  <si>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</si>
  <si>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</si>
  <si>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</si>
  <si>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</si>
  <si>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</si>
  <si>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</si>
  <si>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</si>
  <si>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</si>
  <si>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</si>
  <si>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</si>
  <si>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</si>
  <si>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</si>
  <si>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</si>
  <si>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</si>
  <si>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</si>
  <si>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</si>
  <si>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</si>
  <si>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</si>
  <si>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</si>
  <si>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</si>
  <si>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</si>
  <si>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</si>
  <si>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</si>
  <si>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</si>
  <si>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</si>
  <si>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</si>
  <si>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</si>
  <si>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</si>
  <si>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</si>
  <si>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</si>
  <si>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</si>
  <si>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</si>
  <si>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</si>
  <si>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</si>
  <si>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</si>
  <si>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</si>
  <si>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</si>
  <si>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</si>
  <si>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</si>
  <si>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</si>
  <si>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</si>
  <si>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</si>
  <si>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</si>
  <si>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</si>
  <si>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</si>
  <si>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</si>
  <si>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</si>
  <si>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</si>
  <si>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</si>
  <si>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</si>
  <si>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</si>
  <si>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</si>
  <si>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</si>
  <si>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</si>
  <si>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</si>
  <si>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</si>
  <si>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</si>
  <si>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</si>
  <si>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</si>
  <si>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</si>
  <si>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</si>
  <si>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</si>
  <si>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</si>
  <si>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</si>
  <si>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</si>
  <si>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</si>
  <si>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</si>
  <si>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</si>
  <si>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</si>
  <si>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</si>
  <si>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</si>
  <si>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</si>
  <si>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</si>
  <si>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</si>
  <si>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</si>
  <si>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</si>
  <si>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</si>
  <si>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</si>
  <si>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</si>
  <si>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</si>
  <si>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</si>
  <si>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</si>
  <si>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</si>
  <si>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</si>
  <si>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</si>
  <si>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</si>
  <si>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</si>
  <si>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</si>
  <si>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</si>
  <si>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</si>
  <si>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</si>
  <si>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</si>
  <si>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</si>
  <si>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</si>
  <si>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</si>
  <si>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</si>
  <si>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</si>
  <si>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</si>
  <si>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</si>
  <si>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</si>
  <si>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</si>
  <si>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</si>
  <si>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</si>
  <si>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</si>
  <si>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</si>
  <si>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</si>
  <si>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</si>
  <si>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</si>
  <si>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</si>
  <si>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</si>
  <si>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</si>
  <si>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</si>
  <si>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</si>
  <si>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</si>
  <si>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</si>
  <si>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</si>
  <si>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</si>
  <si>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</si>
  <si>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</si>
  <si>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</si>
  <si>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</si>
  <si>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</si>
  <si>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</si>
  <si>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</si>
  <si>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</si>
  <si>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</si>
  <si>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</si>
  <si>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</si>
  <si>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</si>
  <si>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</si>
  <si>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</si>
  <si>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</si>
  <si>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</si>
  <si>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</si>
  <si>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</si>
  <si>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</si>
  <si>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</si>
  <si>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</si>
  <si>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</si>
  <si>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</si>
  <si>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</si>
  <si>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</si>
  <si>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</si>
  <si>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</si>
  <si>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</si>
  <si>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</si>
  <si>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</si>
  <si>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</si>
  <si>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</si>
  <si>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</si>
  <si>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</si>
  <si>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</si>
  <si>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</si>
  <si>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</si>
  <si>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</si>
  <si>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</si>
  <si>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</si>
  <si>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</si>
  <si>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</si>
  <si>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</si>
  <si>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</si>
  <si>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</si>
  <si>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</si>
  <si>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</si>
  <si>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</si>
  <si>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</si>
  <si>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</si>
  <si>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</si>
  <si>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</si>
  <si>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</si>
  <si>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</si>
  <si>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</si>
  <si>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</si>
  <si>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</si>
  <si>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</si>
  <si>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</si>
  <si>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</si>
  <si>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</si>
  <si>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</si>
  <si>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</si>
  <si>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</si>
  <si>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</si>
  <si>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</si>
  <si>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</si>
  <si>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</si>
  <si>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</si>
  <si>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</si>
  <si>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</si>
  <si>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</si>
  <si>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</si>
  <si>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</si>
  <si>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</si>
  <si>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</si>
  <si>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</si>
  <si>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</si>
  <si>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</si>
  <si>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</si>
  <si>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</si>
  <si>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</si>
  <si>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</si>
  <si>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</si>
  <si>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</si>
  <si>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</si>
  <si>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</si>
  <si>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</si>
  <si>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</si>
  <si>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</si>
  <si>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</si>
  <si>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</si>
  <si>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</si>
  <si>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</si>
  <si>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</si>
  <si>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</si>
  <si>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</si>
  <si>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</si>
  <si>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</si>
  <si>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</si>
  <si>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</si>
  <si>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</si>
  <si>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</si>
  <si>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</si>
  <si>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</si>
  <si>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</si>
  <si>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</si>
  <si>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</si>
  <si>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</si>
  <si>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</si>
  <si>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</si>
  <si>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</si>
  <si>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</si>
  <si>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</si>
  <si>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</si>
  <si>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</si>
  <si>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</si>
  <si>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</si>
  <si>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</si>
  <si>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</si>
  <si>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</si>
  <si>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</si>
  <si>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</si>
  <si>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</si>
  <si>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</si>
  <si>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</si>
  <si>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</si>
  <si>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</si>
  <si>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</si>
  <si>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</si>
  <si>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</si>
  <si>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</si>
  <si>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</si>
  <si>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</si>
  <si>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</si>
  <si>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</si>
  <si>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</si>
  <si>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</si>
  <si>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</si>
  <si>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</si>
  <si>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</si>
  <si>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</si>
  <si>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</si>
  <si>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</si>
  <si>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</si>
  <si>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</si>
  <si>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</si>
  <si>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</si>
  <si>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</si>
  <si>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</si>
  <si>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</si>
  <si>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</si>
  <si>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</si>
  <si>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</si>
  <si>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</si>
  <si>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</si>
  <si>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</si>
  <si>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</si>
  <si>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</si>
  <si>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</si>
  <si>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</si>
  <si>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</si>
  <si>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</si>
  <si>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</si>
  <si>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</si>
  <si>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</si>
  <si>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</si>
  <si>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</si>
  <si>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</si>
  <si>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</si>
  <si>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</si>
  <si>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</si>
  <si>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</si>
  <si>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</si>
  <si>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</si>
  <si>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</si>
  <si>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</si>
  <si>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</si>
  <si>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</si>
  <si>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</si>
  <si>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</si>
  <si>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</si>
  <si>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</si>
  <si>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</si>
  <si>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</si>
  <si>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</si>
  <si>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</si>
  <si>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</si>
  <si>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</si>
  <si>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</si>
  <si>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</si>
  <si>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</si>
  <si>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</si>
  <si>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</si>
  <si>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</si>
  <si>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</si>
  <si>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</si>
  <si>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</si>
  <si>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</si>
  <si>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</si>
  <si>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</si>
  <si>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</si>
  <si>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</si>
  <si>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</si>
  <si>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</si>
  <si>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</si>
  <si>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</si>
  <si>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</si>
  <si>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</si>
  <si>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</si>
  <si>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</si>
  <si>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</si>
  <si>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</si>
  <si>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</si>
  <si>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</si>
  <si>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</si>
  <si>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</si>
  <si>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</si>
  <si>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</si>
  <si>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</si>
  <si>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</si>
  <si>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</si>
  <si>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</si>
  <si>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</si>
  <si>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</si>
  <si>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</si>
  <si>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</si>
  <si>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</si>
  <si>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</si>
  <si>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</si>
  <si>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</si>
  <si>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</si>
  <si>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</si>
  <si>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</si>
  <si>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</si>
  <si>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</si>
  <si>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</si>
  <si>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</si>
  <si>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</si>
  <si>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</si>
  <si>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</si>
  <si>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</si>
  <si>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</si>
  <si>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</si>
  <si>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</si>
  <si>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</si>
  <si>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</si>
  <si>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</si>
  <si>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</si>
  <si>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</si>
  <si>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</si>
  <si>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</si>
  <si>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</si>
  <si>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</si>
  <si>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</si>
  <si>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</si>
  <si>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</si>
  <si>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</si>
  <si>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</si>
  <si>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</si>
  <si>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</si>
  <si>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</si>
  <si>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</si>
  <si>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</si>
  <si>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</si>
  <si>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</si>
  <si>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</si>
  <si>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</si>
  <si>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</si>
  <si>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</si>
  <si>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</si>
  <si>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</si>
  <si>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</si>
  <si>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</si>
  <si>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</si>
  <si>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</si>
  <si>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</si>
  <si>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</si>
  <si>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</si>
  <si>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</si>
  <si>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</si>
  <si>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</si>
  <si>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</si>
  <si>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</si>
  <si>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</si>
  <si>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</si>
  <si>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</si>
  <si>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</si>
  <si>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</si>
  <si>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</si>
  <si>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</si>
  <si>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</si>
  <si>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</si>
  <si>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</si>
  <si>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</si>
  <si>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</si>
  <si>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</si>
  <si>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</si>
  <si>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</si>
  <si>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</si>
  <si>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</si>
  <si>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</si>
  <si>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</si>
  <si>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</si>
  <si>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</si>
  <si>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</si>
  <si>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</si>
  <si>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</si>
  <si>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</si>
  <si>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</si>
  <si>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</si>
  <si>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</si>
  <si>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</si>
  <si>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</si>
  <si>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</si>
  <si>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</si>
  <si>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</si>
  <si>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</si>
  <si>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</si>
  <si>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</si>
  <si>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</si>
  <si>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</si>
  <si>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</si>
  <si>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</si>
  <si>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</si>
  <si>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</si>
  <si>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</si>
  <si>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</si>
  <si>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</si>
  <si>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</si>
  <si>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</si>
  <si>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</si>
  <si>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</si>
  <si>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</si>
  <si>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</si>
  <si>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</si>
  <si>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</si>
  <si>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</si>
  <si>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</si>
  <si>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</si>
  <si>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</si>
  <si>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</si>
  <si>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</si>
  <si>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</si>
  <si>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</si>
  <si>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</si>
  <si>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</si>
  <si>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</si>
  <si>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</si>
  <si>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</si>
  <si>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</si>
  <si>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</si>
  <si>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</si>
  <si>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</si>
  <si>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</si>
  <si>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</si>
  <si>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</si>
  <si>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</si>
  <si>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</si>
  <si>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</si>
  <si>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</si>
  <si>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</si>
  <si>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</si>
  <si>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</si>
  <si>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</si>
  <si>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</si>
  <si>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</si>
  <si>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</si>
  <si>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</si>
  <si>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</si>
  <si>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</si>
  <si>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</si>
  <si>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</si>
  <si>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</si>
  <si>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</si>
  <si>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</si>
  <si>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</si>
  <si>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</si>
  <si>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</si>
  <si>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</si>
  <si>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</si>
  <si>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</si>
  <si>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</si>
  <si>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</si>
  <si>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</si>
  <si>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</si>
  <si>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</si>
  <si>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</si>
  <si>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</si>
  <si>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</si>
  <si>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</si>
  <si>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</si>
  <si>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</si>
  <si>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</si>
  <si>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</si>
  <si>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</si>
  <si>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</si>
  <si>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</si>
  <si>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</si>
  <si>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</si>
  <si>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</si>
  <si>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</si>
  <si>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</si>
  <si>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</si>
  <si>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</si>
  <si>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</si>
  <si>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</si>
  <si>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</si>
  <si>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</si>
  <si>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</si>
  <si>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</si>
  <si>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</si>
  <si>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</si>
  <si>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</si>
  <si>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</si>
  <si>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</si>
  <si>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</si>
  <si>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</si>
  <si>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</si>
  <si>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</si>
  <si>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</si>
  <si>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</si>
  <si>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</si>
  <si>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</si>
  <si>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</si>
  <si>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</si>
  <si>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</si>
  <si>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</si>
  <si>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</si>
  <si>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</si>
  <si>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</si>
  <si>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</si>
  <si>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</si>
  <si>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</si>
  <si>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</si>
  <si>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</si>
  <si>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</si>
  <si>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</si>
  <si>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</si>
  <si>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</si>
  <si>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</si>
  <si>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</si>
  <si>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</si>
  <si>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</si>
  <si>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</si>
  <si>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</si>
  <si>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</si>
  <si>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</si>
  <si>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</si>
  <si>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</si>
  <si>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</si>
  <si>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</si>
  <si>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</si>
  <si>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</si>
  <si>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</si>
  <si>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</si>
  <si>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</si>
  <si>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</si>
  <si>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</si>
  <si>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</si>
  <si>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</si>
  <si>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</si>
  <si>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</si>
  <si>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</si>
  <si>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</si>
  <si>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</si>
  <si>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</si>
  <si>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</si>
  <si>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</si>
  <si>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</si>
  <si>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</si>
  <si>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</si>
  <si>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</si>
  <si>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</si>
  <si>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</si>
  <si>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</si>
  <si>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</si>
  <si>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</si>
  <si>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</si>
  <si>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</si>
  <si>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</si>
  <si>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</si>
  <si>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</si>
  <si>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</si>
  <si>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</si>
  <si>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</si>
  <si>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</si>
  <si>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</si>
  <si>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</si>
  <si>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</si>
  <si>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</si>
  <si>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</si>
  <si>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</si>
  <si>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</si>
  <si>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</si>
  <si>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</si>
  <si>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</si>
  <si>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</si>
  <si>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</si>
  <si>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</si>
  <si>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</si>
  <si>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</si>
  <si>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</si>
  <si>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</si>
  <si>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</si>
  <si>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</si>
  <si>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</si>
  <si>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</si>
  <si>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</si>
  <si>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</si>
  <si>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</si>
  <si>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</si>
  <si>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</si>
  <si>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</si>
  <si>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</si>
  <si>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</si>
  <si>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</si>
  <si>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</si>
  <si>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</si>
  <si>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</si>
  <si>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</si>
  <si>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</si>
  <si>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</si>
  <si>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</si>
  <si>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</si>
  <si>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</si>
  <si>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</si>
  <si>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</si>
  <si>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</si>
  <si>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</si>
  <si>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</si>
  <si>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</si>
  <si>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</si>
  <si>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</si>
  <si>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</si>
  <si>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</si>
  <si>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</si>
  <si>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</si>
  <si>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</si>
  <si>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</si>
  <si>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</si>
  <si>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</si>
  <si>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</si>
  <si>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</si>
  <si>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</si>
  <si>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</si>
  <si>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</si>
  <si>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</si>
  <si>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</si>
  <si>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</si>
  <si>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</si>
  <si>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</si>
  <si>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</si>
  <si>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</si>
  <si>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</si>
  <si>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</si>
  <si>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</si>
  <si>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</si>
  <si>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</si>
  <si>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</si>
  <si>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</si>
  <si>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</si>
  <si>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</si>
  <si>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</si>
  <si>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</si>
  <si>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</si>
  <si>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</si>
  <si>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</si>
  <si>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</si>
  <si>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</si>
  <si>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</si>
  <si>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</si>
  <si>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</si>
  <si>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</si>
  <si>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</si>
  <si>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</si>
  <si>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</si>
  <si>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</si>
  <si>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</si>
  <si>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</si>
  <si>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</si>
  <si>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</si>
  <si>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</si>
  <si>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</si>
  <si>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</si>
  <si>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</si>
  <si>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</si>
  <si>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</si>
  <si>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</si>
  <si>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</si>
  <si>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</si>
  <si>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</si>
  <si>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</si>
  <si>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</si>
  <si>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</si>
  <si>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</si>
  <si>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</si>
  <si>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</si>
  <si>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</si>
  <si>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</si>
  <si>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</si>
  <si>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</si>
  <si>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</si>
  <si>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</si>
  <si>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</si>
  <si>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</si>
  <si>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</si>
  <si>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</si>
  <si>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</si>
  <si>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</si>
  <si>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</si>
  <si>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</si>
  <si>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</si>
  <si>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</si>
  <si>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</si>
  <si>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</si>
  <si>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</si>
  <si>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</si>
  <si>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</si>
  <si>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</si>
  <si>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</si>
  <si>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录屏专用盲盒</t>
  </si>
  <si>
    <t>PlaytestRecording</t>
  </si>
  <si>
    <t>RecordingSequence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</si>
  <si>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</si>
  <si>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</si>
  <si>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</si>
  <si>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</si>
  <si>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</si>
  <si>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</si>
  <si>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</si>
  <si>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</si>
  <si>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</si>
  <si>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</si>
  <si>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</si>
  <si>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</si>
  <si>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</si>
  <si>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</si>
  <si>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</si>
  <si>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</si>
  <si>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</si>
  <si>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</si>
  <si>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</si>
  <si>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</si>
  <si>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</si>
  <si>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</si>
  <si>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</si>
  <si>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</si>
  <si>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</si>
  <si>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</si>
  <si>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</si>
  <si>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</si>
  <si>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</si>
  <si>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</si>
  <si>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</si>
  <si>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</si>
  <si>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</si>
  <si>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</si>
  <si>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</si>
  <si>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</si>
  <si>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</si>
  <si>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</si>
  <si>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</si>
  <si>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</si>
  <si>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</si>
  <si>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</si>
  <si>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</si>
  <si>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</si>
  <si>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</si>
  <si>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</si>
  <si>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</si>
  <si>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</si>
  <si>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</si>
  <si>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</si>
  <si>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</si>
  <si>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</si>
  <si>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</si>
  <si>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</si>
  <si>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</si>
  <si>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</si>
  <si>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</si>
  <si>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</si>
  <si>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录屏用</t>
  </si>
  <si>
    <t>ItemId</t>
  </si>
  <si>
    <t>RecordingRewardOrder</t>
  </si>
  <si>
    <t>稳定且唯一的行ID</t>
  </si>
  <si>
    <t>对应 Item.Id</t>
  </si>
  <si>
    <t>同一盲盒、同一品质内的物品相对权重</t>
  </si>
  <si>
    <t>关闭后不参与奖池，但保留权重</t>
  </si>
  <si>
    <t>仅顺序发奖模式使用。0 不加入队列；正整数按升序发奖，同一盲盒内不可重复；走到末尾后循环。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</si>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</sst>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30" customWidth="1"/>
    <col min="15" max="15" width="44" customWidth="1"/>
    <col min="16" max="16" width="48.5833333333333" customWidth="1"/>
    <col min="17" max="17" width="15.4166666666667" customWidth="1"/>
    <col min="18" max="18" width="7" style="30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31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9" customFormat="1" spans="1:30">
      <c r="B5" s="29">
        <v>1001</v>
      </c>
      <c r="C5" s="29" t="s">
        <v>82</v>
      </c>
      <c r="D5" s="29" t="s">
        <v>83</v>
      </c>
      <c r="E5" s="29" t="s">
        <v>84</v>
      </c>
      <c r="F5" s="29" t="s">
        <v>85</v>
      </c>
      <c r="I5" s="29" t="s">
        <v>86</v>
      </c>
      <c r="J5" s="29">
        <v>200</v>
      </c>
      <c r="K5" s="29" t="b">
        <v>0</v>
      </c>
      <c r="L5" s="29" t="s">
        <v>87</v>
      </c>
      <c r="M5" s="29">
        <v>0</v>
      </c>
      <c r="O5" s="3" t="s">
        <v>88</v>
      </c>
      <c r="P5" s="3" t="s">
        <v>89</v>
      </c>
      <c r="Q5" s="29">
        <v>1001</v>
      </c>
      <c r="R5" s="29"/>
      <c r="T5" s="29" t="s">
        <v>90</v>
      </c>
      <c r="V5" s="29" t="b">
        <v>1</v>
      </c>
      <c r="W5" s="29" t="b">
        <v>0</v>
      </c>
      <c r="X5" s="29" t="b">
        <v>0</v>
      </c>
      <c r="Y5" s="29" t="b">
        <v>0</v>
      </c>
      <c r="Z5" s="29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9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9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9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9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9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9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9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9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9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9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9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9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9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9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9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9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9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9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9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9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9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9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9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9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9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30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30" t="s">
        <v>209</v>
      </c>
      <c r="O53" t="s">
        <v>253</v>
      </c>
      <c r="P53" t="s">
        <v>254</v>
      </c>
      <c r="Q53" t="s">
        <v>209</v>
      </c>
      <c r="R53" s="30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30" t="s">
        <v>209</v>
      </c>
      <c r="O54" t="s">
        <v>257</v>
      </c>
      <c r="P54" t="s">
        <v>258</v>
      </c>
      <c r="Q54" t="s">
        <v>209</v>
      </c>
      <c r="R54" s="30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30"/>
      <c r="O76" t="s">
        <v>347</v>
      </c>
      <c r="P76" t="s">
        <v>348</v>
      </c>
      <c r="R76" s="30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9" customFormat="1" spans="1:26">
      <c r="B78" s="29">
        <v>4001</v>
      </c>
      <c r="C78" s="29" t="s">
        <v>356</v>
      </c>
      <c r="D78" s="29" t="s">
        <v>357</v>
      </c>
      <c r="E78" s="29" t="s">
        <v>358</v>
      </c>
      <c r="F78" s="29" t="s">
        <v>85</v>
      </c>
      <c r="G78" s="29" t="s">
        <v>359</v>
      </c>
      <c r="I78" s="29" t="s">
        <v>86</v>
      </c>
      <c r="J78" s="29">
        <v>0</v>
      </c>
      <c r="K78" s="29" t="b">
        <v>1</v>
      </c>
      <c r="L78" s="29" t="s">
        <v>87</v>
      </c>
      <c r="M78" s="29">
        <v>0</v>
      </c>
      <c r="O78" s="29" t="s">
        <v>360</v>
      </c>
      <c r="P78" s="29" t="s">
        <v>361</v>
      </c>
      <c r="S78" s="29">
        <v>104001</v>
      </c>
      <c r="T78" s="29" t="s">
        <v>90</v>
      </c>
      <c r="U78" s="29"/>
      <c r="V78" s="29" t="b">
        <v>1</v>
      </c>
      <c r="W78" s="29" t="b">
        <v>0</v>
      </c>
      <c r="X78" s="29" t="b">
        <v>0</v>
      </c>
      <c r="Y78" s="29" t="b">
        <v>0</v>
      </c>
      <c r="Z78" s="29" t="b">
        <v>0</v>
      </c>
    </row>
    <row r="79" s="29" customFormat="1" spans="1:26">
      <c r="B79" s="29">
        <v>4002</v>
      </c>
      <c r="C79" s="29" t="s">
        <v>362</v>
      </c>
      <c r="D79" s="29" t="s">
        <v>363</v>
      </c>
      <c r="E79" s="29" t="s">
        <v>358</v>
      </c>
      <c r="F79" s="29" t="s">
        <v>85</v>
      </c>
      <c r="G79" s="29" t="s">
        <v>359</v>
      </c>
      <c r="I79" s="29" t="s">
        <v>86</v>
      </c>
      <c r="J79" s="29">
        <v>0</v>
      </c>
      <c r="K79" s="29" t="b">
        <v>1</v>
      </c>
      <c r="L79" s="29" t="s">
        <v>87</v>
      </c>
      <c r="M79" s="29">
        <v>0</v>
      </c>
      <c r="O79" s="29" t="s">
        <v>364</v>
      </c>
      <c r="P79" s="29" t="s">
        <v>365</v>
      </c>
      <c r="S79" s="29">
        <v>104002</v>
      </c>
      <c r="T79" s="29" t="s">
        <v>90</v>
      </c>
      <c r="U79" s="29"/>
      <c r="V79" s="29" t="b">
        <v>1</v>
      </c>
      <c r="W79" s="29" t="b">
        <v>0</v>
      </c>
      <c r="X79" s="29" t="b">
        <v>0</v>
      </c>
      <c r="Y79" s="29" t="b">
        <v>0</v>
      </c>
      <c r="Z79" s="29" t="b">
        <v>0</v>
      </c>
    </row>
    <row r="80" s="29" customFormat="1" spans="1:26">
      <c r="B80" s="29">
        <v>4003</v>
      </c>
      <c r="C80" s="29" t="s">
        <v>366</v>
      </c>
      <c r="D80" s="29" t="s">
        <v>367</v>
      </c>
      <c r="E80" s="29" t="s">
        <v>358</v>
      </c>
      <c r="F80" s="29" t="s">
        <v>85</v>
      </c>
      <c r="G80" s="29" t="s">
        <v>359</v>
      </c>
      <c r="I80" s="29" t="s">
        <v>86</v>
      </c>
      <c r="J80" s="29">
        <v>0</v>
      </c>
      <c r="K80" s="29" t="b">
        <v>1</v>
      </c>
      <c r="L80" s="29" t="s">
        <v>87</v>
      </c>
      <c r="M80" s="29">
        <v>0</v>
      </c>
      <c r="O80" s="29" t="s">
        <v>368</v>
      </c>
      <c r="P80" s="29" t="s">
        <v>369</v>
      </c>
      <c r="S80" s="29">
        <v>104003</v>
      </c>
      <c r="T80" s="29" t="s">
        <v>90</v>
      </c>
      <c r="U80" s="29"/>
      <c r="V80" s="29" t="b">
        <v>1</v>
      </c>
      <c r="W80" s="29" t="b">
        <v>0</v>
      </c>
      <c r="X80" s="29" t="b">
        <v>0</v>
      </c>
      <c r="Y80" s="29" t="b">
        <v>0</v>
      </c>
      <c r="Z80" s="29" t="b">
        <v>0</v>
      </c>
    </row>
    <row r="81" s="29" customFormat="1" spans="2:26">
      <c r="B81" s="29">
        <v>4004</v>
      </c>
      <c r="C81" s="29" t="s">
        <v>370</v>
      </c>
      <c r="D81" s="29" t="s">
        <v>371</v>
      </c>
      <c r="E81" s="29" t="s">
        <v>358</v>
      </c>
      <c r="F81" s="29" t="s">
        <v>85</v>
      </c>
      <c r="G81" s="29" t="s">
        <v>359</v>
      </c>
      <c r="I81" s="29" t="s">
        <v>86</v>
      </c>
      <c r="J81" s="29">
        <v>0</v>
      </c>
      <c r="K81" s="29" t="b">
        <v>1</v>
      </c>
      <c r="L81" s="29" t="s">
        <v>87</v>
      </c>
      <c r="M81" s="29">
        <v>0</v>
      </c>
      <c r="O81" s="29" t="s">
        <v>372</v>
      </c>
      <c r="P81" s="29" t="s">
        <v>373</v>
      </c>
      <c r="S81" s="29">
        <v>104004</v>
      </c>
      <c r="T81" s="29" t="s">
        <v>90</v>
      </c>
      <c r="U81" s="29"/>
      <c r="V81" s="29" t="b">
        <v>1</v>
      </c>
      <c r="W81" s="29" t="b">
        <v>0</v>
      </c>
      <c r="X81" s="29" t="b">
        <v>0</v>
      </c>
      <c r="Y81" s="29" t="b">
        <v>0</v>
      </c>
      <c r="Z81" s="29" t="b">
        <v>0</v>
      </c>
    </row>
    <row r="82" s="29" customFormat="1" spans="2:26">
      <c r="B82" s="29">
        <v>4005</v>
      </c>
      <c r="C82" s="29" t="s">
        <v>374</v>
      </c>
      <c r="D82" s="29" t="s">
        <v>375</v>
      </c>
      <c r="E82" s="29" t="s">
        <v>358</v>
      </c>
      <c r="F82" s="29" t="s">
        <v>85</v>
      </c>
      <c r="G82" s="29" t="s">
        <v>359</v>
      </c>
      <c r="I82" s="29" t="s">
        <v>86</v>
      </c>
      <c r="J82" s="29">
        <v>0</v>
      </c>
      <c r="K82" s="29" t="b">
        <v>1</v>
      </c>
      <c r="L82" s="29" t="s">
        <v>87</v>
      </c>
      <c r="M82" s="29">
        <v>0</v>
      </c>
      <c r="O82" s="29" t="s">
        <v>376</v>
      </c>
      <c r="P82" s="29" t="s">
        <v>377</v>
      </c>
      <c r="S82" s="29">
        <v>104005</v>
      </c>
      <c r="T82" s="29" t="s">
        <v>90</v>
      </c>
      <c r="U82" s="29"/>
      <c r="V82" s="29" t="b">
        <v>1</v>
      </c>
      <c r="W82" s="29" t="b">
        <v>0</v>
      </c>
      <c r="X82" s="29" t="b">
        <v>0</v>
      </c>
      <c r="Y82" s="29" t="b">
        <v>0</v>
      </c>
      <c r="Z82" s="29" t="b">
        <v>0</v>
      </c>
    </row>
    <row r="83" s="29" customFormat="1" spans="2:26">
      <c r="B83" s="29">
        <v>4006</v>
      </c>
      <c r="C83" s="29" t="s">
        <v>378</v>
      </c>
      <c r="D83" s="29" t="s">
        <v>379</v>
      </c>
      <c r="E83" s="29" t="s">
        <v>358</v>
      </c>
      <c r="F83" s="29" t="s">
        <v>85</v>
      </c>
      <c r="G83" s="29" t="s">
        <v>359</v>
      </c>
      <c r="I83" s="29" t="s">
        <v>86</v>
      </c>
      <c r="J83" s="29">
        <v>0</v>
      </c>
      <c r="K83" s="29" t="b">
        <v>1</v>
      </c>
      <c r="L83" s="29" t="s">
        <v>87</v>
      </c>
      <c r="M83" s="29">
        <v>0</v>
      </c>
      <c r="O83" s="29" t="s">
        <v>380</v>
      </c>
      <c r="P83" s="29" t="s">
        <v>381</v>
      </c>
      <c r="S83" s="29">
        <v>104006</v>
      </c>
      <c r="T83" s="29" t="s">
        <v>90</v>
      </c>
      <c r="U83" s="29"/>
      <c r="V83" s="29" t="b">
        <v>1</v>
      </c>
      <c r="W83" s="29" t="b">
        <v>0</v>
      </c>
      <c r="X83" s="29" t="b">
        <v>0</v>
      </c>
      <c r="Y83" s="29" t="b">
        <v>0</v>
      </c>
      <c r="Z83" s="29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9" customFormat="1" spans="2:26">
      <c r="B92" s="29">
        <v>6001</v>
      </c>
      <c r="C92" s="29" t="s">
        <v>415</v>
      </c>
      <c r="D92" s="29" t="s">
        <v>416</v>
      </c>
      <c r="E92" s="29" t="s">
        <v>417</v>
      </c>
      <c r="F92" s="29" t="s">
        <v>85</v>
      </c>
      <c r="G92" s="29" t="s">
        <v>209</v>
      </c>
      <c r="H92" s="29" t="s">
        <v>209</v>
      </c>
      <c r="I92" s="29" t="s">
        <v>86</v>
      </c>
      <c r="J92" s="29">
        <v>300</v>
      </c>
      <c r="K92" s="29" t="b">
        <v>0</v>
      </c>
      <c r="L92" s="29" t="s">
        <v>87</v>
      </c>
      <c r="M92" s="29">
        <v>0</v>
      </c>
      <c r="N92" s="29" t="s">
        <v>209</v>
      </c>
      <c r="O92" s="29" t="s">
        <v>418</v>
      </c>
      <c r="P92" s="29" t="s">
        <v>419</v>
      </c>
      <c r="S92" s="29">
        <v>106001</v>
      </c>
      <c r="T92" s="29" t="s">
        <v>90</v>
      </c>
      <c r="U92" s="29"/>
      <c r="V92" s="29" t="b">
        <v>1</v>
      </c>
      <c r="W92" s="29" t="b">
        <v>0</v>
      </c>
      <c r="X92" s="29" t="b">
        <v>0</v>
      </c>
      <c r="Y92" s="29" t="b">
        <v>0</v>
      </c>
      <c r="Z92" s="29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30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30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30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30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30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30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30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30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30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30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9" customFormat="1" spans="2:26">
      <c r="B106" s="29">
        <v>7004</v>
      </c>
      <c r="C106" s="29" t="s">
        <v>473</v>
      </c>
      <c r="D106" s="29" t="s">
        <v>474</v>
      </c>
      <c r="E106" s="29" t="s">
        <v>462</v>
      </c>
      <c r="F106" s="29" t="s">
        <v>85</v>
      </c>
      <c r="I106" s="32" t="s">
        <v>86</v>
      </c>
      <c r="J106" s="29">
        <v>300</v>
      </c>
      <c r="K106" s="29" t="b">
        <v>0</v>
      </c>
      <c r="L106" s="29" t="s">
        <v>87</v>
      </c>
      <c r="M106" s="29">
        <v>0</v>
      </c>
      <c r="O106" s="29" t="s">
        <v>475</v>
      </c>
      <c r="P106" s="29" t="s">
        <v>476</v>
      </c>
      <c r="S106" s="29">
        <v>107004</v>
      </c>
      <c r="T106" s="29" t="s">
        <v>90</v>
      </c>
      <c r="U106" s="29"/>
      <c r="V106" s="29" t="b">
        <v>1</v>
      </c>
      <c r="W106" s="29" t="b">
        <v>0</v>
      </c>
      <c r="X106" s="29" t="b">
        <v>0</v>
      </c>
      <c r="Y106" s="29" t="b">
        <v>0</v>
      </c>
      <c r="Z106" s="29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2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2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30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30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30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30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30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30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30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30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30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30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30" t="s">
        <v>209</v>
      </c>
      <c r="O121" t="s">
        <v>535</v>
      </c>
      <c r="P121" t="s">
        <v>536</v>
      </c>
      <c r="Q121" t="s">
        <v>209</v>
      </c>
      <c r="R121" s="30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30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30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30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30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30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30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30" t="s">
        <v>209</v>
      </c>
      <c r="O131" t="s">
        <v>576</v>
      </c>
      <c r="P131" t="s">
        <v>577</v>
      </c>
      <c r="Q131" t="s">
        <v>209</v>
      </c>
      <c r="R131" s="30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30" t="s">
        <v>209</v>
      </c>
      <c r="O132" t="s">
        <v>580</v>
      </c>
      <c r="P132" t="s">
        <v>581</v>
      </c>
      <c r="Q132" t="s">
        <v>209</v>
      </c>
      <c r="R132" s="30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30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30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30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30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30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30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30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30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30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9" customFormat="1" spans="1:30">
      <c r="B144" s="29">
        <v>10001</v>
      </c>
      <c r="C144" s="29" t="s">
        <v>630</v>
      </c>
      <c r="D144" s="29" t="s">
        <v>631</v>
      </c>
      <c r="E144" s="29" t="s">
        <v>632</v>
      </c>
      <c r="F144" s="29" t="s">
        <v>85</v>
      </c>
      <c r="I144" s="29" t="s">
        <v>86</v>
      </c>
      <c r="J144" s="29">
        <v>300</v>
      </c>
      <c r="K144" s="29" t="b">
        <v>1</v>
      </c>
      <c r="L144" s="29" t="s">
        <v>87</v>
      </c>
      <c r="M144" s="29">
        <v>0</v>
      </c>
      <c r="O144" s="29" t="s">
        <v>633</v>
      </c>
      <c r="P144" s="29" t="s">
        <v>634</v>
      </c>
      <c r="S144" s="29">
        <v>110001</v>
      </c>
      <c r="T144" s="29" t="s">
        <v>90</v>
      </c>
      <c r="U144" s="29"/>
      <c r="V144" s="29" t="b">
        <v>1</v>
      </c>
      <c r="W144" s="29" t="b">
        <v>0</v>
      </c>
      <c r="X144" s="29" t="b">
        <v>0</v>
      </c>
      <c r="Y144" s="29" t="b">
        <v>0</v>
      </c>
      <c r="Z144" s="29" t="b">
        <v>0</v>
      </c>
    </row>
    <row r="145" s="29" customFormat="1" spans="1:26">
      <c r="B145" s="29">
        <v>11001</v>
      </c>
      <c r="C145" s="29" t="s">
        <v>635</v>
      </c>
      <c r="D145" s="29" t="s">
        <v>636</v>
      </c>
      <c r="E145" s="29" t="s">
        <v>637</v>
      </c>
      <c r="F145" s="29" t="s">
        <v>85</v>
      </c>
      <c r="I145" s="29" t="s">
        <v>86</v>
      </c>
      <c r="J145" s="29">
        <v>300</v>
      </c>
      <c r="K145" s="29" t="b">
        <v>1</v>
      </c>
      <c r="L145" s="29" t="s">
        <v>87</v>
      </c>
      <c r="M145" s="29">
        <v>0</v>
      </c>
      <c r="O145" s="29" t="s">
        <v>638</v>
      </c>
      <c r="P145" s="29" t="s">
        <v>639</v>
      </c>
      <c r="R145" s="29" t="s">
        <v>640</v>
      </c>
      <c r="S145" s="29">
        <v>111001</v>
      </c>
      <c r="T145" s="29" t="s">
        <v>90</v>
      </c>
      <c r="U145" s="29"/>
      <c r="V145" s="29" t="b">
        <v>1</v>
      </c>
      <c r="W145" s="29" t="b">
        <v>0</v>
      </c>
      <c r="X145" s="29" t="b">
        <v>0</v>
      </c>
      <c r="Y145" s="29" t="b">
        <v>0</v>
      </c>
      <c r="Z145" s="29" t="b">
        <v>0</v>
      </c>
    </row>
    <row r="146" s="29" customFormat="1" spans="1:26">
      <c r="B146" s="29">
        <v>11002</v>
      </c>
      <c r="C146" s="29" t="s">
        <v>641</v>
      </c>
      <c r="D146" s="29" t="s">
        <v>642</v>
      </c>
      <c r="E146" s="29" t="s">
        <v>637</v>
      </c>
      <c r="F146" s="29" t="s">
        <v>85</v>
      </c>
      <c r="H146" s="29">
        <v>11001</v>
      </c>
      <c r="I146" s="29" t="s">
        <v>86</v>
      </c>
      <c r="J146" s="29">
        <v>300</v>
      </c>
      <c r="K146" s="29" t="b">
        <v>1</v>
      </c>
      <c r="L146" s="29" t="s">
        <v>87</v>
      </c>
      <c r="M146" s="29">
        <v>0</v>
      </c>
      <c r="O146" s="29" t="s">
        <v>638</v>
      </c>
      <c r="P146" s="29" t="s">
        <v>643</v>
      </c>
      <c r="S146" s="29">
        <v>111002</v>
      </c>
      <c r="T146" s="29" t="s">
        <v>90</v>
      </c>
      <c r="U146" s="29"/>
      <c r="V146" s="29" t="b">
        <v>1</v>
      </c>
      <c r="W146" s="29" t="b">
        <v>0</v>
      </c>
      <c r="X146" s="29" t="b">
        <v>0</v>
      </c>
      <c r="Y146" s="29" t="b">
        <v>0</v>
      </c>
      <c r="Z146" s="29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2" t="s">
        <v>94</v>
      </c>
      <c r="J147">
        <v>300</v>
      </c>
      <c r="K147" t="b">
        <v>0</v>
      </c>
      <c r="L147" t="s">
        <v>95</v>
      </c>
      <c r="M147">
        <v>0</v>
      </c>
      <c r="N147" s="30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2" t="s">
        <v>100</v>
      </c>
      <c r="J148">
        <v>300</v>
      </c>
      <c r="K148" t="b">
        <v>0</v>
      </c>
      <c r="L148" t="s">
        <v>95</v>
      </c>
      <c r="M148">
        <v>0</v>
      </c>
      <c r="N148" s="30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2" t="s">
        <v>345</v>
      </c>
      <c r="J149">
        <v>200</v>
      </c>
      <c r="K149" t="b">
        <v>0</v>
      </c>
      <c r="L149" t="s">
        <v>346</v>
      </c>
      <c r="M149">
        <v>0</v>
      </c>
      <c r="N149" s="30"/>
      <c r="O149" s="3" t="s">
        <v>101</v>
      </c>
      <c r="P149" s="3" t="s">
        <v>102</v>
      </c>
      <c r="Q149">
        <v>1003</v>
      </c>
      <c r="R149" s="30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2" t="s">
        <v>345</v>
      </c>
      <c r="J150">
        <v>100</v>
      </c>
      <c r="K150" t="b">
        <v>0</v>
      </c>
      <c r="L150" t="s">
        <v>346</v>
      </c>
      <c r="M150">
        <v>0</v>
      </c>
      <c r="N150" s="30"/>
      <c r="O150" t="s">
        <v>229</v>
      </c>
      <c r="P150" t="s">
        <v>230</v>
      </c>
      <c r="R150" s="30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3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30"/>
      <c r="O152" t="s">
        <v>229</v>
      </c>
      <c r="P152" t="s">
        <v>230</v>
      </c>
      <c r="R152" s="30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30"/>
      <c r="O153" s="3" t="s">
        <v>88</v>
      </c>
      <c r="P153" s="3" t="s">
        <v>133</v>
      </c>
      <c r="Q153">
        <v>1012</v>
      </c>
      <c r="R153" s="30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5:I41 I43:I52 I55:I120 I122:I129 I133:I153">
      <formula1>表说明!$F$2:$F$9</formula1>
    </dataValidation>
    <dataValidation type="list" allowBlank="1" showInputMessage="1" showErrorMessage="1" sqref="L5:L41 L43:L52 L55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4" t="s">
        <v>667</v>
      </c>
      <c r="B1" s="25"/>
      <c r="C1" s="25"/>
      <c r="D1" s="26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4" t="s">
        <v>747</v>
      </c>
      <c r="B32" s="24"/>
      <c r="C32" s="24"/>
      <c r="D32" s="27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</row>
    <row r="34" s="5" customFormat="1" spans="1:2">
      <c r="A34" s="28" t="s">
        <v>748</v>
      </c>
      <c r="B34" s="5" t="s">
        <v>749</v>
      </c>
    </row>
    <row r="35" s="5" customFormat="1" spans="1:2">
      <c r="A35" s="28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8" t="s">
        <v>748</v>
      </c>
      <c r="B38" s="5" t="s">
        <v>754</v>
      </c>
    </row>
    <row r="39" s="5" customFormat="1" spans="1:2">
      <c r="A39" s="28" t="s">
        <v>750</v>
      </c>
      <c r="B39" s="5" t="s">
        <v>755</v>
      </c>
    </row>
    <row r="40" s="5" customFormat="1" spans="1:2">
      <c r="A40" s="28" t="s">
        <v>756</v>
      </c>
      <c r="B40" s="5" t="s">
        <v>757</v>
      </c>
    </row>
    <row r="41" s="5" customFormat="1" spans="1:2">
      <c r="A41" s="28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8" t="s">
        <v>748</v>
      </c>
      <c r="B44" s="5" t="s">
        <v>760</v>
      </c>
    </row>
    <row r="45" s="5" customFormat="1" spans="1:2">
      <c r="A45" s="28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8" t="s">
        <v>748</v>
      </c>
      <c r="B48" s="5" t="s">
        <v>763</v>
      </c>
    </row>
    <row r="49" spans="1:7">
      <c r="A49" s="28"/>
      <c r="B49" s="5"/>
    </row>
    <row r="50" spans="1:7">
      <c r="A50" s="28" t="s">
        <v>748</v>
      </c>
      <c r="B50" s="5" t="s">
        <v>764</v>
      </c>
      <c r="E50" s="5"/>
      <c r="F50" s="5"/>
      <c r="G50" s="5"/>
    </row>
    <row r="51" spans="1:7">
      <c r="A51" s="28"/>
      <c r="B51" s="5"/>
      <c r="E51" s="5"/>
      <c r="F51" s="5"/>
      <c r="G51" s="5"/>
    </row>
    <row r="52" spans="1:7">
      <c r="A52" s="28" t="s">
        <v>748</v>
      </c>
      <c r="B52" s="5" t="s">
        <v>765</v>
      </c>
      <c r="G52" s="5"/>
    </row>
    <row r="53" spans="1:7">
      <c r="A53" s="28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8" t="s">
        <v>748</v>
      </c>
      <c r="B56" s="5" t="s">
        <v>768</v>
      </c>
    </row>
    <row r="57" spans="1:7">
      <c r="A57" s="28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8" t="s">
        <v>748</v>
      </c>
      <c r="B60" s="5" t="s">
        <v>771</v>
      </c>
    </row>
    <row r="61" spans="1:7">
      <c r="A61" s="28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8" t="s">
        <v>748</v>
      </c>
      <c r="B64" s="5" t="s">
        <v>774</v>
      </c>
    </row>
    <row r="65" spans="1:6">
      <c r="A65" s="28" t="s">
        <v>750</v>
      </c>
      <c r="B65" s="5" t="s">
        <v>775</v>
      </c>
    </row>
    <row r="66" spans="1:6">
      <c r="A66" s="28" t="s">
        <v>756</v>
      </c>
      <c r="B66" s="5" t="s">
        <v>776</v>
      </c>
      <c r="C66" s="5"/>
    </row>
    <row r="67" spans="1:6">
      <c r="A67" s="28" t="s">
        <v>756</v>
      </c>
      <c r="B67" s="5" t="s">
        <v>777</v>
      </c>
      <c r="C67" s="5"/>
    </row>
    <row r="68" spans="1:6">
      <c r="A68" s="28" t="s">
        <v>756</v>
      </c>
      <c r="B68" s="5" t="s">
        <v>778</v>
      </c>
      <c r="C68" s="5"/>
    </row>
    <row r="69" spans="1:6">
      <c r="A69" s="28" t="s">
        <v>756</v>
      </c>
      <c r="B69" t="s">
        <v>779</v>
      </c>
    </row>
    <row r="70" spans="1:6">
      <c r="A70" s="28" t="s">
        <v>756</v>
      </c>
      <c r="B70" t="s">
        <v>780</v>
      </c>
    </row>
    <row r="71" spans="1:6">
      <c r="E71" s="5"/>
      <c r="F71" s="5"/>
    </row>
    <row r="72" spans="1:6">
      <c r="A72" s="28" t="s">
        <v>748</v>
      </c>
      <c r="B72" s="5" t="s">
        <v>781</v>
      </c>
    </row>
    <row r="73" spans="1:6">
      <c r="A73" s="28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8" t="s">
        <v>748</v>
      </c>
      <c r="B76" t="s">
        <v>784</v>
      </c>
    </row>
    <row r="77" spans="1:6">
      <c r="A77" s="28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D19" sqref="D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3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3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3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3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3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3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3</v>
      </c>
      <c r="L11" t="s">
        <v>841</v>
      </c>
      <c r="M11" t="b">
        <v>1</v>
      </c>
      <c r="N11" s="9" t="b">
        <v>0</v>
      </c>
    </row>
    <row r="12" spans="1:14">
      <c r="B12">
        <v>4002</v>
      </c>
      <c r="C12" t="s">
        <v>842</v>
      </c>
      <c r="D12" t="s">
        <v>843</v>
      </c>
      <c r="E12" s="16" t="s">
        <v>823</v>
      </c>
      <c r="F12" s="16" t="s">
        <v>844</v>
      </c>
      <c r="G12" s="16" t="s">
        <v>825</v>
      </c>
      <c r="H12">
        <v>1000</v>
      </c>
      <c r="I12" t="s">
        <v>826</v>
      </c>
      <c r="J12">
        <v>3</v>
      </c>
      <c r="K12">
        <v>3</v>
      </c>
      <c r="L12" t="s">
        <v>827</v>
      </c>
      <c r="M12" t="b">
        <v>0</v>
      </c>
      <c r="N12" t="b">
        <v>1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"/>
  <sheetViews>
    <sheetView tabSelected="1" topLeftCell="A6" workbookViewId="0">
      <selection activeCell="E39" sqref="E3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845</v>
      </c>
      <c r="D1" t="s">
        <v>846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N1" t="s">
        <v>853</v>
      </c>
      <c r="O1" t="s">
        <v>795</v>
      </c>
      <c r="P1" t="s">
        <v>854</v>
      </c>
      <c r="Q1" t="s">
        <v>855</v>
      </c>
      <c r="R1" t="s">
        <v>856</v>
      </c>
      <c r="S1" t="s">
        <v>857</v>
      </c>
      <c r="T1" t="s">
        <v>209</v>
      </c>
      <c r="U1" t="s">
        <v>858</v>
      </c>
      <c r="V1" t="s">
        <v>859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860</v>
      </c>
      <c r="D3" s="2" t="s">
        <v>861</v>
      </c>
      <c r="F3" s="2" t="s">
        <v>862</v>
      </c>
      <c r="G3" s="2" t="s">
        <v>849</v>
      </c>
      <c r="H3" s="2" t="s">
        <v>863</v>
      </c>
      <c r="I3" s="2" t="s">
        <v>864</v>
      </c>
      <c r="J3" s="2" t="s">
        <v>865</v>
      </c>
      <c r="K3" s="2" t="s">
        <v>866</v>
      </c>
      <c r="L3" s="2" t="s">
        <v>866</v>
      </c>
      <c r="M3" s="2" t="s">
        <v>867</v>
      </c>
      <c r="N3" s="2" t="s">
        <v>868</v>
      </c>
      <c r="O3" s="2" t="s">
        <v>821</v>
      </c>
      <c r="P3" s="2" t="s">
        <v>869</v>
      </c>
      <c r="Q3" s="2" t="s">
        <v>870</v>
      </c>
      <c r="R3" s="2" t="s">
        <v>871</v>
      </c>
      <c r="S3" s="2" t="s">
        <v>872</v>
      </c>
      <c r="T3" s="2"/>
      <c r="U3" s="2" t="s">
        <v>873</v>
      </c>
      <c r="V3" s="2" t="s">
        <v>874</v>
      </c>
    </row>
    <row r="4" spans="1:22">
      <c r="A4" s="4" t="s">
        <v>39</v>
      </c>
      <c r="B4" t="s">
        <v>875</v>
      </c>
      <c r="C4" t="s">
        <v>876</v>
      </c>
      <c r="D4" t="s">
        <v>877</v>
      </c>
      <c r="F4" t="s">
        <v>811</v>
      </c>
      <c r="G4" t="s">
        <v>878</v>
      </c>
      <c r="H4" t="s">
        <v>879</v>
      </c>
      <c r="I4" t="s">
        <v>880</v>
      </c>
      <c r="J4" t="s">
        <v>881</v>
      </c>
      <c r="K4" t="s">
        <v>882</v>
      </c>
      <c r="L4" t="s">
        <v>883</v>
      </c>
      <c r="M4" s="23">
        <v>10</v>
      </c>
      <c r="N4" t="s">
        <v>884</v>
      </c>
      <c r="O4" t="s">
        <v>821</v>
      </c>
      <c r="P4" t="s">
        <v>885</v>
      </c>
      <c r="Q4" t="s">
        <v>886</v>
      </c>
      <c r="R4" t="s">
        <v>887</v>
      </c>
      <c r="S4" t="s">
        <v>888</v>
      </c>
      <c r="U4" t="s">
        <v>889</v>
      </c>
      <c r="V4" t="s">
        <v>890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1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1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  <row r="35" spans="1:22">
      <c r="A35" t="s">
        <v>39</v>
      </c>
    </row>
    <row r="36" customFormat="1" spans="1:22">
      <c r="B36">
        <v>4001</v>
      </c>
      <c r="C36">
        <v>0</v>
      </c>
      <c r="D36">
        <v>0</v>
      </c>
      <c r="E36" t="s">
        <v>843</v>
      </c>
      <c r="F36">
        <v>4002</v>
      </c>
      <c r="G36">
        <v>0</v>
      </c>
      <c r="H36" t="b">
        <v>1</v>
      </c>
      <c r="J36">
        <v>5</v>
      </c>
      <c r="N36">
        <v>-1</v>
      </c>
      <c r="O36" t="b">
        <v>1</v>
      </c>
      <c r="P36">
        <v>0</v>
      </c>
      <c r="Q36">
        <v>0</v>
      </c>
      <c r="R36">
        <v>0</v>
      </c>
      <c r="S36">
        <v>0</v>
      </c>
      <c r="U36">
        <v>1000</v>
      </c>
      <c r="V36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"/>
  <sheetViews>
    <sheetView topLeftCell="A20" workbookViewId="0">
      <selection activeCell="F61" sqref="F61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848</v>
      </c>
      <c r="D1" t="s">
        <v>891</v>
      </c>
      <c r="E1" t="s">
        <v>892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893</v>
      </c>
      <c r="C3" s="2" t="s">
        <v>862</v>
      </c>
      <c r="D3" s="2" t="s">
        <v>894</v>
      </c>
      <c r="E3" s="2" t="s">
        <v>895</v>
      </c>
      <c r="F3" s="19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896</v>
      </c>
      <c r="G4" t="s">
        <v>821</v>
      </c>
      <c r="H4" t="s">
        <v>897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2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2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898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899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899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899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899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899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899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E33/SUM($E$33:$E$38)</f>
        <v>0</v>
      </c>
      <c r="G33" t="b">
        <v>1</v>
      </c>
      <c r="H33" t="s">
        <v>900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900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900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0.434782608695652</v>
      </c>
      <c r="G36" t="b">
        <v>1</v>
      </c>
      <c r="H36" t="s">
        <v>900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 t="shared" si="3"/>
        <v>0.347826086956522</v>
      </c>
      <c r="G37" t="b">
        <v>1</v>
      </c>
      <c r="H37" t="s">
        <v>900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 t="shared" si="3"/>
        <v>0.217391304347826</v>
      </c>
      <c r="G38" t="b">
        <v>1</v>
      </c>
      <c r="H38" t="s">
        <v>900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901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902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2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2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A48" t="s">
        <v>39</v>
      </c>
      <c r="F48" s="17">
        <f>SUM(F42:F47)</f>
        <v>1</v>
      </c>
    </row>
    <row r="49" spans="2:8">
      <c r="B49">
        <v>400201</v>
      </c>
      <c r="C49">
        <v>4002</v>
      </c>
      <c r="D49" t="s">
        <v>86</v>
      </c>
      <c r="E49">
        <v>100</v>
      </c>
      <c r="F49" s="17">
        <f t="shared" ref="F49:F54" si="5">E49/10000</f>
        <v>0.01</v>
      </c>
      <c r="G49" t="b">
        <v>1</v>
      </c>
      <c r="H49" t="s">
        <v>903</v>
      </c>
    </row>
    <row r="50" spans="2:8">
      <c r="B50">
        <v>400202</v>
      </c>
      <c r="C50">
        <v>4002</v>
      </c>
      <c r="D50" t="s">
        <v>100</v>
      </c>
      <c r="E50">
        <v>100</v>
      </c>
      <c r="F50" s="17">
        <f t="shared" si="5"/>
        <v>0.01</v>
      </c>
      <c r="G50" t="b">
        <v>1</v>
      </c>
    </row>
    <row r="51" spans="2:8">
      <c r="B51">
        <v>400203</v>
      </c>
      <c r="C51">
        <v>4002</v>
      </c>
      <c r="D51" t="s">
        <v>94</v>
      </c>
      <c r="E51">
        <v>100</v>
      </c>
      <c r="F51" s="17">
        <f t="shared" si="5"/>
        <v>0.01</v>
      </c>
      <c r="G51" t="b">
        <v>1</v>
      </c>
    </row>
    <row r="52" spans="2:8">
      <c r="B52">
        <v>400204</v>
      </c>
      <c r="C52">
        <v>4002</v>
      </c>
      <c r="D52" t="s">
        <v>109</v>
      </c>
      <c r="E52">
        <v>100</v>
      </c>
      <c r="F52" s="17">
        <f t="shared" si="5"/>
        <v>0.01</v>
      </c>
      <c r="G52" t="b">
        <v>1</v>
      </c>
    </row>
    <row r="53" spans="2:8">
      <c r="B53">
        <v>400205</v>
      </c>
      <c r="C53">
        <v>4002</v>
      </c>
      <c r="D53" t="s">
        <v>113</v>
      </c>
      <c r="E53">
        <v>100</v>
      </c>
      <c r="F53" s="17">
        <f t="shared" si="5"/>
        <v>0.01</v>
      </c>
      <c r="G53" t="b">
        <v>1</v>
      </c>
    </row>
    <row r="54" spans="2:8">
      <c r="B54">
        <v>400206</v>
      </c>
      <c r="C54">
        <v>4002</v>
      </c>
      <c r="D54" t="s">
        <v>129</v>
      </c>
      <c r="E54">
        <v>100</v>
      </c>
      <c r="F54" s="17">
        <f t="shared" si="5"/>
        <v>0.01</v>
      </c>
      <c r="G54" t="b">
        <v>1</v>
      </c>
    </row>
    <row r="55" spans="2:8">
      <c r="F55" s="17">
        <f>SUM(F49:F54)</f>
        <v>0.06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5"/>
  <sheetViews>
    <sheetView topLeftCell="A250" workbookViewId="0">
      <selection activeCell="J17" sqref="J17"/>
    </sheetView>
  </sheetViews>
  <sheetFormatPr defaultColWidth="8.66666666666667" defaultRowHeight="17.4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1.0833333333333" style="18" customWidth="1"/>
    <col min="8" max="8" width="28.4166666666667" customWidth="1"/>
    <col min="9" max="9" width="18" customWidth="1"/>
  </cols>
  <sheetData>
    <row r="1" spans="1:9">
      <c r="A1" t="s">
        <v>0</v>
      </c>
      <c r="B1" t="s">
        <v>1</v>
      </c>
      <c r="C1" t="s">
        <v>848</v>
      </c>
      <c r="D1" t="s">
        <v>904</v>
      </c>
      <c r="E1" t="s">
        <v>892</v>
      </c>
      <c r="F1" s="17" t="s">
        <v>795</v>
      </c>
      <c r="G1" s="18" t="s">
        <v>905</v>
      </c>
      <c r="H1" t="s">
        <v>209</v>
      </c>
    </row>
    <row r="2" spans="1:9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s="18" t="s">
        <v>29</v>
      </c>
      <c r="H2" t="s">
        <v>209</v>
      </c>
    </row>
    <row r="3" s="2" customFormat="1" ht="66" customHeight="1" spans="1:9">
      <c r="A3" s="2" t="s">
        <v>39</v>
      </c>
      <c r="B3" s="2" t="s">
        <v>906</v>
      </c>
      <c r="C3" s="2" t="s">
        <v>862</v>
      </c>
      <c r="D3" s="2" t="s">
        <v>907</v>
      </c>
      <c r="E3" s="2" t="s">
        <v>908</v>
      </c>
      <c r="F3" s="19" t="s">
        <v>909</v>
      </c>
      <c r="G3" s="20" t="s">
        <v>910</v>
      </c>
      <c r="H3" s="2" t="s">
        <v>209</v>
      </c>
    </row>
    <row r="4" spans="1:9">
      <c r="A4" t="s">
        <v>39</v>
      </c>
      <c r="B4" t="s">
        <v>56</v>
      </c>
      <c r="C4" t="s">
        <v>811</v>
      </c>
      <c r="D4" t="s">
        <v>911</v>
      </c>
      <c r="E4" t="s">
        <v>912</v>
      </c>
      <c r="F4" s="17" t="s">
        <v>821</v>
      </c>
      <c r="G4" s="18" t="s">
        <v>905</v>
      </c>
      <c r="H4" t="s">
        <v>897</v>
      </c>
      <c r="I4" t="s">
        <v>897</v>
      </c>
    </row>
    <row r="5" spans="1:9">
      <c r="A5" t="s">
        <v>209</v>
      </c>
      <c r="B5" s="21">
        <v>100101002</v>
      </c>
      <c r="C5">
        <v>1001</v>
      </c>
      <c r="D5">
        <v>1002</v>
      </c>
      <c r="E5">
        <v>300</v>
      </c>
      <c r="F5" s="17" t="b">
        <v>1</v>
      </c>
      <c r="H5" t="s">
        <v>822</v>
      </c>
    </row>
    <row r="6" spans="1:9">
      <c r="A6" t="s">
        <v>209</v>
      </c>
      <c r="B6" s="21">
        <v>100101003</v>
      </c>
      <c r="C6">
        <v>1001</v>
      </c>
      <c r="D6">
        <v>1003</v>
      </c>
      <c r="E6">
        <v>90</v>
      </c>
      <c r="F6" s="17" t="b">
        <v>1</v>
      </c>
      <c r="H6" t="s">
        <v>822</v>
      </c>
    </row>
    <row r="7" spans="1:9">
      <c r="A7" t="s">
        <v>209</v>
      </c>
      <c r="B7" s="21">
        <v>100101004</v>
      </c>
      <c r="C7">
        <v>1001</v>
      </c>
      <c r="D7">
        <v>1004</v>
      </c>
      <c r="E7">
        <v>90</v>
      </c>
      <c r="F7" s="17" t="b">
        <v>1</v>
      </c>
      <c r="H7" t="s">
        <v>822</v>
      </c>
    </row>
    <row r="8" spans="1:9">
      <c r="A8" t="s">
        <v>209</v>
      </c>
      <c r="B8" s="21">
        <v>100101005</v>
      </c>
      <c r="C8">
        <v>1001</v>
      </c>
      <c r="D8">
        <v>1005</v>
      </c>
      <c r="E8" s="22">
        <v>190</v>
      </c>
      <c r="F8" s="17" t="b">
        <v>1</v>
      </c>
      <c r="H8" t="s">
        <v>822</v>
      </c>
    </row>
    <row r="9" spans="1:9">
      <c r="A9" t="s">
        <v>209</v>
      </c>
      <c r="B9" s="21">
        <v>100101006</v>
      </c>
      <c r="C9">
        <v>1001</v>
      </c>
      <c r="D9">
        <v>1006</v>
      </c>
      <c r="E9" s="22">
        <v>150</v>
      </c>
      <c r="F9" s="17" t="b">
        <v>1</v>
      </c>
      <c r="H9" t="s">
        <v>822</v>
      </c>
    </row>
    <row r="10" spans="1:9">
      <c r="A10" t="s">
        <v>209</v>
      </c>
      <c r="B10" s="21">
        <v>100101007</v>
      </c>
      <c r="C10">
        <v>1001</v>
      </c>
      <c r="D10">
        <v>1007</v>
      </c>
      <c r="E10">
        <v>200</v>
      </c>
      <c r="F10" s="17" t="b">
        <v>1</v>
      </c>
      <c r="H10" t="s">
        <v>822</v>
      </c>
    </row>
    <row r="11" spans="1:9">
      <c r="A11" t="s">
        <v>209</v>
      </c>
      <c r="B11" s="21">
        <v>100101008</v>
      </c>
      <c r="C11">
        <v>1001</v>
      </c>
      <c r="D11">
        <v>1008</v>
      </c>
      <c r="E11">
        <v>2</v>
      </c>
      <c r="F11" s="17" t="b">
        <v>1</v>
      </c>
      <c r="H11" t="s">
        <v>822</v>
      </c>
    </row>
    <row r="12" spans="1:9">
      <c r="A12" t="s">
        <v>209</v>
      </c>
      <c r="B12" s="21">
        <v>100101009</v>
      </c>
      <c r="C12">
        <v>1001</v>
      </c>
      <c r="D12">
        <v>1009</v>
      </c>
      <c r="E12">
        <v>200</v>
      </c>
      <c r="F12" s="17" t="b">
        <v>1</v>
      </c>
      <c r="H12" t="s">
        <v>822</v>
      </c>
    </row>
    <row r="13" spans="1:9">
      <c r="A13" t="s">
        <v>209</v>
      </c>
      <c r="B13" s="21">
        <v>100101010</v>
      </c>
      <c r="C13">
        <v>1001</v>
      </c>
      <c r="D13">
        <v>1010</v>
      </c>
      <c r="E13">
        <v>150</v>
      </c>
      <c r="F13" s="17" t="b">
        <v>1</v>
      </c>
      <c r="H13" t="s">
        <v>822</v>
      </c>
    </row>
    <row r="14" spans="1:9">
      <c r="A14" t="s">
        <v>209</v>
      </c>
      <c r="B14" s="21">
        <v>100101011</v>
      </c>
      <c r="C14">
        <v>1001</v>
      </c>
      <c r="D14">
        <v>1011</v>
      </c>
      <c r="E14">
        <v>2</v>
      </c>
      <c r="F14" s="17" t="b">
        <v>1</v>
      </c>
      <c r="H14" t="s">
        <v>822</v>
      </c>
    </row>
    <row r="15" spans="1:9">
      <c r="A15" t="s">
        <v>209</v>
      </c>
      <c r="B15" s="21">
        <v>100101012</v>
      </c>
      <c r="C15">
        <v>1001</v>
      </c>
      <c r="D15">
        <v>1012</v>
      </c>
      <c r="E15">
        <v>200</v>
      </c>
      <c r="F15" s="17" t="b">
        <v>1</v>
      </c>
      <c r="H15" t="s">
        <v>822</v>
      </c>
    </row>
    <row r="16" spans="1:9">
      <c r="B16" s="21">
        <v>100101013</v>
      </c>
      <c r="C16">
        <v>1001</v>
      </c>
      <c r="D16">
        <v>1013</v>
      </c>
      <c r="E16">
        <v>2</v>
      </c>
      <c r="F16" s="17" t="b">
        <v>1</v>
      </c>
      <c r="H16" t="s">
        <v>822</v>
      </c>
    </row>
    <row r="17" spans="2:8">
      <c r="B17" s="21">
        <v>100101014</v>
      </c>
      <c r="C17">
        <v>1001</v>
      </c>
      <c r="D17">
        <v>1014</v>
      </c>
      <c r="E17">
        <v>200</v>
      </c>
      <c r="F17" s="17" t="b">
        <v>1</v>
      </c>
      <c r="H17" t="s">
        <v>822</v>
      </c>
    </row>
    <row r="18" spans="2:8">
      <c r="B18" s="21">
        <v>100101015</v>
      </c>
      <c r="C18">
        <v>1001</v>
      </c>
      <c r="D18">
        <v>1015</v>
      </c>
      <c r="E18">
        <v>99</v>
      </c>
      <c r="F18" s="17" t="b">
        <v>1</v>
      </c>
      <c r="H18" t="s">
        <v>822</v>
      </c>
    </row>
    <row r="19" spans="2:8">
      <c r="B19" s="21">
        <v>100101016</v>
      </c>
      <c r="C19">
        <v>1001</v>
      </c>
      <c r="D19">
        <v>1016</v>
      </c>
      <c r="E19">
        <v>150</v>
      </c>
      <c r="F19" s="17" t="b">
        <v>1</v>
      </c>
      <c r="H19" t="s">
        <v>822</v>
      </c>
    </row>
    <row r="20" spans="2:8">
      <c r="B20" s="21">
        <v>100101017</v>
      </c>
      <c r="C20">
        <v>1001</v>
      </c>
      <c r="D20">
        <v>1017</v>
      </c>
      <c r="E20">
        <v>80</v>
      </c>
      <c r="F20" s="17" t="b">
        <v>1</v>
      </c>
      <c r="H20" t="s">
        <v>822</v>
      </c>
    </row>
    <row r="21" spans="2:8">
      <c r="B21" s="21">
        <v>100101018</v>
      </c>
      <c r="C21">
        <v>1001</v>
      </c>
      <c r="D21">
        <v>1018</v>
      </c>
      <c r="E21">
        <v>80</v>
      </c>
      <c r="F21" s="17" t="b">
        <v>1</v>
      </c>
      <c r="H21" t="s">
        <v>822</v>
      </c>
    </row>
    <row r="22" spans="2:8">
      <c r="B22" s="21">
        <v>100101019</v>
      </c>
      <c r="C22">
        <v>1001</v>
      </c>
      <c r="D22">
        <v>1019</v>
      </c>
      <c r="E22">
        <v>60</v>
      </c>
      <c r="F22" s="17" t="b">
        <v>1</v>
      </c>
      <c r="H22" t="s">
        <v>822</v>
      </c>
    </row>
    <row r="23" spans="2:8">
      <c r="B23" s="21">
        <v>100101020</v>
      </c>
      <c r="C23">
        <v>1001</v>
      </c>
      <c r="D23">
        <v>1020</v>
      </c>
      <c r="E23">
        <v>50</v>
      </c>
      <c r="F23" s="17" t="b">
        <v>1</v>
      </c>
      <c r="H23" t="s">
        <v>822</v>
      </c>
    </row>
    <row r="24" spans="2:8">
      <c r="B24" s="21">
        <v>100101021</v>
      </c>
      <c r="C24">
        <v>1001</v>
      </c>
      <c r="D24">
        <v>1021</v>
      </c>
      <c r="E24">
        <v>99</v>
      </c>
      <c r="F24" s="17" t="b">
        <v>1</v>
      </c>
      <c r="H24" t="s">
        <v>822</v>
      </c>
    </row>
    <row r="25" spans="2:8">
      <c r="B25" s="21">
        <v>100101022</v>
      </c>
      <c r="C25">
        <v>1001</v>
      </c>
      <c r="D25">
        <v>1022</v>
      </c>
      <c r="E25">
        <v>80</v>
      </c>
      <c r="F25" s="17" t="b">
        <v>1</v>
      </c>
      <c r="H25" t="s">
        <v>822</v>
      </c>
    </row>
    <row r="26" spans="2:8">
      <c r="B26" s="21">
        <v>100101023</v>
      </c>
      <c r="C26">
        <v>1001</v>
      </c>
      <c r="D26">
        <v>1023</v>
      </c>
      <c r="E26">
        <v>120</v>
      </c>
      <c r="F26" s="17" t="b">
        <v>1</v>
      </c>
      <c r="H26" t="s">
        <v>822</v>
      </c>
    </row>
    <row r="27" spans="2:8">
      <c r="B27" s="21">
        <v>100101024</v>
      </c>
      <c r="C27">
        <v>1001</v>
      </c>
      <c r="D27">
        <v>1024</v>
      </c>
      <c r="E27">
        <v>120</v>
      </c>
      <c r="F27" s="17" t="b">
        <v>1</v>
      </c>
      <c r="H27" t="s">
        <v>822</v>
      </c>
    </row>
    <row r="28" spans="2:8">
      <c r="B28" s="21">
        <v>100101025</v>
      </c>
      <c r="C28">
        <v>1001</v>
      </c>
      <c r="D28">
        <v>1025</v>
      </c>
      <c r="E28">
        <v>80</v>
      </c>
      <c r="F28" s="17" t="b">
        <v>1</v>
      </c>
      <c r="H28" t="s">
        <v>822</v>
      </c>
    </row>
    <row r="29" spans="2:8">
      <c r="B29" s="21">
        <v>100101026</v>
      </c>
      <c r="C29">
        <v>1001</v>
      </c>
      <c r="D29">
        <v>1026</v>
      </c>
      <c r="E29">
        <v>120</v>
      </c>
      <c r="F29" s="17" t="b">
        <v>1</v>
      </c>
      <c r="H29" t="s">
        <v>822</v>
      </c>
    </row>
    <row r="30" spans="2:8">
      <c r="B30" s="21">
        <v>100101027</v>
      </c>
      <c r="C30">
        <v>1001</v>
      </c>
      <c r="D30">
        <v>1027</v>
      </c>
      <c r="E30">
        <v>120</v>
      </c>
      <c r="F30" s="17" t="b">
        <v>1</v>
      </c>
      <c r="H30" t="s">
        <v>822</v>
      </c>
    </row>
    <row r="31" spans="2:8">
      <c r="B31" s="21">
        <v>100101028</v>
      </c>
      <c r="C31">
        <v>1001</v>
      </c>
      <c r="D31">
        <v>1028</v>
      </c>
      <c r="E31">
        <v>70</v>
      </c>
      <c r="F31" s="17" t="b">
        <v>1</v>
      </c>
      <c r="H31" t="s">
        <v>822</v>
      </c>
    </row>
    <row r="32" spans="2:8">
      <c r="B32" s="21">
        <v>100101029</v>
      </c>
      <c r="C32">
        <v>1001</v>
      </c>
      <c r="D32">
        <v>1029</v>
      </c>
      <c r="E32">
        <v>90</v>
      </c>
      <c r="F32" s="17" t="b">
        <v>1</v>
      </c>
      <c r="H32" t="s">
        <v>822</v>
      </c>
    </row>
    <row r="33" spans="1:8">
      <c r="B33" s="21">
        <v>100101030</v>
      </c>
      <c r="C33">
        <v>1001</v>
      </c>
      <c r="D33">
        <v>1030</v>
      </c>
      <c r="E33">
        <v>200</v>
      </c>
      <c r="F33" s="17" t="b">
        <v>1</v>
      </c>
      <c r="H33" t="s">
        <v>822</v>
      </c>
    </row>
    <row r="34" spans="1:8">
      <c r="B34" s="21">
        <v>100101031</v>
      </c>
      <c r="C34">
        <v>1001</v>
      </c>
      <c r="D34">
        <v>1031</v>
      </c>
      <c r="E34">
        <v>50</v>
      </c>
      <c r="F34" s="17" t="b">
        <v>1</v>
      </c>
      <c r="H34" t="s">
        <v>822</v>
      </c>
    </row>
    <row r="35" spans="1:8">
      <c r="B35" s="21">
        <v>100101032</v>
      </c>
      <c r="C35">
        <v>1001</v>
      </c>
      <c r="D35">
        <v>1032</v>
      </c>
      <c r="E35">
        <v>200</v>
      </c>
      <c r="F35" s="17" t="b">
        <v>1</v>
      </c>
      <c r="H35" t="s">
        <v>822</v>
      </c>
    </row>
    <row r="36" spans="1:8">
      <c r="B36" s="21">
        <v>100101033</v>
      </c>
      <c r="C36">
        <v>1001</v>
      </c>
      <c r="D36">
        <v>1033</v>
      </c>
      <c r="E36">
        <v>90</v>
      </c>
      <c r="F36" s="17" t="b">
        <v>1</v>
      </c>
      <c r="H36" t="s">
        <v>822</v>
      </c>
    </row>
    <row r="37" spans="1:8">
      <c r="B37" s="21">
        <v>100101034</v>
      </c>
      <c r="C37">
        <v>1001</v>
      </c>
      <c r="D37">
        <v>1034</v>
      </c>
      <c r="E37">
        <v>49</v>
      </c>
      <c r="F37" s="17" t="b">
        <v>1</v>
      </c>
      <c r="H37" t="s">
        <v>822</v>
      </c>
    </row>
    <row r="38" spans="1:8">
      <c r="B38" s="21">
        <v>100101035</v>
      </c>
      <c r="C38">
        <v>1001</v>
      </c>
      <c r="D38">
        <v>1035</v>
      </c>
      <c r="E38">
        <v>99</v>
      </c>
      <c r="F38" s="17" t="b">
        <v>1</v>
      </c>
      <c r="H38" t="s">
        <v>822</v>
      </c>
    </row>
    <row r="39" spans="1:8">
      <c r="B39" s="21">
        <v>100101036</v>
      </c>
      <c r="C39">
        <v>1001</v>
      </c>
      <c r="D39">
        <v>1036</v>
      </c>
      <c r="E39">
        <v>49</v>
      </c>
      <c r="F39" s="17" t="b">
        <v>1</v>
      </c>
      <c r="H39" t="s">
        <v>822</v>
      </c>
    </row>
    <row r="40" spans="1:8">
      <c r="B40" s="21">
        <v>100101037</v>
      </c>
      <c r="C40">
        <v>1001</v>
      </c>
      <c r="D40">
        <v>1037</v>
      </c>
      <c r="E40">
        <v>99</v>
      </c>
      <c r="F40" s="17" t="b">
        <v>1</v>
      </c>
      <c r="H40" t="s">
        <v>822</v>
      </c>
    </row>
    <row r="41" spans="1:8">
      <c r="A41" t="s">
        <v>209</v>
      </c>
      <c r="B41" s="21">
        <v>100102001</v>
      </c>
      <c r="C41">
        <v>1001</v>
      </c>
      <c r="D41">
        <v>2001</v>
      </c>
      <c r="E41">
        <v>300</v>
      </c>
      <c r="F41" s="17" t="b">
        <v>1</v>
      </c>
      <c r="H41" t="s">
        <v>822</v>
      </c>
    </row>
    <row r="42" spans="1:8">
      <c r="A42" t="s">
        <v>209</v>
      </c>
      <c r="B42" s="21">
        <v>100102002</v>
      </c>
      <c r="C42">
        <v>1001</v>
      </c>
      <c r="D42">
        <v>2002</v>
      </c>
      <c r="E42">
        <v>300</v>
      </c>
      <c r="F42" s="17" t="b">
        <v>1</v>
      </c>
      <c r="H42" t="s">
        <v>822</v>
      </c>
    </row>
    <row r="43" spans="1:8">
      <c r="A43" t="s">
        <v>209</v>
      </c>
      <c r="B43" s="21">
        <v>100102003</v>
      </c>
      <c r="C43">
        <v>1001</v>
      </c>
      <c r="D43">
        <v>2003</v>
      </c>
      <c r="E43">
        <v>300</v>
      </c>
      <c r="F43" s="17" t="b">
        <v>1</v>
      </c>
      <c r="H43" t="s">
        <v>822</v>
      </c>
    </row>
    <row r="44" spans="1:8">
      <c r="A44" t="s">
        <v>209</v>
      </c>
      <c r="B44" s="21">
        <v>100102004</v>
      </c>
      <c r="C44">
        <v>1001</v>
      </c>
      <c r="D44">
        <v>2004</v>
      </c>
      <c r="E44">
        <v>300</v>
      </c>
      <c r="F44" s="17" t="b">
        <v>1</v>
      </c>
      <c r="H44" t="s">
        <v>822</v>
      </c>
    </row>
    <row r="45" spans="1:8">
      <c r="A45" t="s">
        <v>209</v>
      </c>
      <c r="B45" s="21">
        <v>100102005</v>
      </c>
      <c r="C45">
        <v>1001</v>
      </c>
      <c r="D45">
        <v>2005</v>
      </c>
      <c r="E45">
        <v>300</v>
      </c>
      <c r="F45" s="17" t="b">
        <v>1</v>
      </c>
      <c r="H45" t="s">
        <v>822</v>
      </c>
    </row>
    <row r="46" spans="1:8">
      <c r="A46" t="s">
        <v>209</v>
      </c>
      <c r="B46" s="21">
        <v>100102006</v>
      </c>
      <c r="C46">
        <v>1001</v>
      </c>
      <c r="D46">
        <v>2006</v>
      </c>
      <c r="E46">
        <v>300</v>
      </c>
      <c r="F46" s="17" t="b">
        <v>1</v>
      </c>
      <c r="H46" t="s">
        <v>822</v>
      </c>
    </row>
    <row r="47" spans="1:8">
      <c r="A47" t="s">
        <v>209</v>
      </c>
      <c r="B47" s="21">
        <v>100102007</v>
      </c>
      <c r="C47">
        <v>1001</v>
      </c>
      <c r="D47">
        <v>2007</v>
      </c>
      <c r="E47">
        <v>300</v>
      </c>
      <c r="F47" s="17" t="b">
        <v>1</v>
      </c>
      <c r="H47" t="s">
        <v>822</v>
      </c>
    </row>
    <row r="48" spans="1:8">
      <c r="A48" t="s">
        <v>209</v>
      </c>
      <c r="B48" s="21">
        <v>100102008</v>
      </c>
      <c r="C48">
        <v>1001</v>
      </c>
      <c r="D48">
        <v>2008</v>
      </c>
      <c r="E48">
        <v>300</v>
      </c>
      <c r="F48" s="17" t="b">
        <v>1</v>
      </c>
      <c r="H48" t="s">
        <v>822</v>
      </c>
    </row>
    <row r="49" spans="1:8">
      <c r="A49" t="s">
        <v>209</v>
      </c>
      <c r="B49" s="21">
        <v>100102009</v>
      </c>
      <c r="C49">
        <v>1001</v>
      </c>
      <c r="D49">
        <v>2009</v>
      </c>
      <c r="E49">
        <v>300</v>
      </c>
      <c r="F49" s="17" t="b">
        <v>1</v>
      </c>
      <c r="H49" t="s">
        <v>822</v>
      </c>
    </row>
    <row r="50" spans="1:8">
      <c r="A50" t="s">
        <v>209</v>
      </c>
      <c r="B50" s="21">
        <v>100102010</v>
      </c>
      <c r="C50">
        <v>1001</v>
      </c>
      <c r="D50">
        <v>2010</v>
      </c>
      <c r="E50">
        <v>300</v>
      </c>
      <c r="F50" s="17" t="b">
        <v>1</v>
      </c>
      <c r="H50" t="s">
        <v>822</v>
      </c>
    </row>
    <row r="51" spans="1:8">
      <c r="A51" t="s">
        <v>209</v>
      </c>
      <c r="B51" s="21">
        <v>100102011</v>
      </c>
      <c r="C51">
        <v>1001</v>
      </c>
      <c r="D51">
        <v>2011</v>
      </c>
      <c r="E51">
        <v>300</v>
      </c>
      <c r="F51" s="17" t="b">
        <v>1</v>
      </c>
      <c r="H51" t="s">
        <v>822</v>
      </c>
    </row>
    <row r="52" spans="1:8">
      <c r="A52" t="s">
        <v>209</v>
      </c>
      <c r="B52" s="21">
        <v>100102012</v>
      </c>
      <c r="C52">
        <v>1001</v>
      </c>
      <c r="D52">
        <v>2012</v>
      </c>
      <c r="E52">
        <v>300</v>
      </c>
      <c r="F52" s="17" t="b">
        <v>1</v>
      </c>
      <c r="H52" t="s">
        <v>822</v>
      </c>
    </row>
    <row r="53" spans="1:8">
      <c r="A53" t="s">
        <v>209</v>
      </c>
      <c r="B53" s="21">
        <v>100102013</v>
      </c>
      <c r="C53">
        <v>1001</v>
      </c>
      <c r="D53">
        <v>2013</v>
      </c>
      <c r="E53">
        <v>100</v>
      </c>
      <c r="F53" s="17" t="b">
        <v>1</v>
      </c>
      <c r="H53" t="s">
        <v>822</v>
      </c>
    </row>
    <row r="54" spans="1:8">
      <c r="A54" t="s">
        <v>209</v>
      </c>
      <c r="B54" s="21">
        <v>100102014</v>
      </c>
      <c r="C54">
        <v>1001</v>
      </c>
      <c r="D54">
        <v>2014</v>
      </c>
      <c r="E54">
        <v>100</v>
      </c>
      <c r="F54" s="17" t="b">
        <v>1</v>
      </c>
      <c r="H54" t="s">
        <v>822</v>
      </c>
    </row>
    <row r="55" spans="1:8">
      <c r="A55" t="s">
        <v>209</v>
      </c>
      <c r="B55" s="21">
        <v>100102015</v>
      </c>
      <c r="C55">
        <v>1001</v>
      </c>
      <c r="D55">
        <v>2015</v>
      </c>
      <c r="E55">
        <v>100</v>
      </c>
      <c r="F55" s="17" t="b">
        <v>1</v>
      </c>
      <c r="H55" t="s">
        <v>822</v>
      </c>
    </row>
    <row r="56" spans="1:8">
      <c r="A56" t="s">
        <v>209</v>
      </c>
      <c r="B56" s="21">
        <v>100102016</v>
      </c>
      <c r="C56">
        <v>1001</v>
      </c>
      <c r="D56">
        <v>2016</v>
      </c>
      <c r="E56" s="22">
        <v>100</v>
      </c>
      <c r="F56" s="17" t="b">
        <v>1</v>
      </c>
      <c r="H56" t="s">
        <v>822</v>
      </c>
    </row>
    <row r="57" spans="1:8">
      <c r="A57" t="s">
        <v>209</v>
      </c>
      <c r="B57" s="21">
        <v>100102017</v>
      </c>
      <c r="C57">
        <v>1001</v>
      </c>
      <c r="D57">
        <v>2017</v>
      </c>
      <c r="E57" s="22">
        <v>100</v>
      </c>
      <c r="F57" s="17" t="b">
        <v>1</v>
      </c>
      <c r="H57" t="s">
        <v>822</v>
      </c>
    </row>
    <row r="58" spans="1:8">
      <c r="A58" t="s">
        <v>209</v>
      </c>
      <c r="B58" s="21">
        <v>100102018</v>
      </c>
      <c r="C58">
        <v>1001</v>
      </c>
      <c r="D58">
        <v>2018</v>
      </c>
      <c r="E58">
        <v>100</v>
      </c>
      <c r="F58" s="17" t="b">
        <v>1</v>
      </c>
      <c r="H58" t="s">
        <v>822</v>
      </c>
    </row>
    <row r="59" spans="1:8">
      <c r="A59" t="s">
        <v>209</v>
      </c>
      <c r="B59" s="21">
        <v>100102019</v>
      </c>
      <c r="C59">
        <v>1001</v>
      </c>
      <c r="D59">
        <v>2019</v>
      </c>
      <c r="E59">
        <v>100</v>
      </c>
      <c r="F59" s="17" t="b">
        <v>1</v>
      </c>
      <c r="H59" t="s">
        <v>822</v>
      </c>
    </row>
    <row r="60" spans="1:8">
      <c r="A60" t="s">
        <v>209</v>
      </c>
      <c r="B60" s="21">
        <v>100102020</v>
      </c>
      <c r="C60">
        <v>1001</v>
      </c>
      <c r="D60">
        <v>2020</v>
      </c>
      <c r="E60">
        <v>100</v>
      </c>
      <c r="F60" s="17" t="b">
        <v>1</v>
      </c>
      <c r="H60" t="s">
        <v>822</v>
      </c>
    </row>
    <row r="61" spans="1:8">
      <c r="A61" t="s">
        <v>209</v>
      </c>
      <c r="B61" s="21">
        <v>100102021</v>
      </c>
      <c r="C61">
        <v>1001</v>
      </c>
      <c r="D61">
        <v>2021</v>
      </c>
      <c r="E61">
        <v>100</v>
      </c>
      <c r="F61" s="17" t="b">
        <v>1</v>
      </c>
      <c r="H61" t="s">
        <v>822</v>
      </c>
    </row>
    <row r="62" spans="1:8">
      <c r="A62" t="s">
        <v>209</v>
      </c>
      <c r="B62" s="21">
        <v>100102022</v>
      </c>
      <c r="C62">
        <v>1001</v>
      </c>
      <c r="D62">
        <v>2022</v>
      </c>
      <c r="E62">
        <v>100</v>
      </c>
      <c r="F62" s="17" t="b">
        <v>1</v>
      </c>
      <c r="H62" t="s">
        <v>822</v>
      </c>
    </row>
    <row r="63" spans="1:8">
      <c r="A63" t="s">
        <v>209</v>
      </c>
      <c r="B63" s="21">
        <v>100102023</v>
      </c>
      <c r="C63">
        <v>1001</v>
      </c>
      <c r="D63">
        <v>2023</v>
      </c>
      <c r="E63">
        <v>100</v>
      </c>
      <c r="F63" s="17" t="b">
        <v>1</v>
      </c>
      <c r="H63" t="s">
        <v>822</v>
      </c>
    </row>
    <row r="64" spans="1:8">
      <c r="A64" t="s">
        <v>209</v>
      </c>
      <c r="B64" s="21">
        <v>100102024</v>
      </c>
      <c r="C64">
        <v>1001</v>
      </c>
      <c r="D64">
        <v>2024</v>
      </c>
      <c r="E64">
        <v>100</v>
      </c>
      <c r="F64" s="17" t="b">
        <v>1</v>
      </c>
      <c r="H64" t="s">
        <v>822</v>
      </c>
    </row>
    <row r="65" spans="1:8">
      <c r="A65" t="s">
        <v>209</v>
      </c>
      <c r="B65" s="21">
        <v>100102025</v>
      </c>
      <c r="C65">
        <v>1001</v>
      </c>
      <c r="D65">
        <v>2025</v>
      </c>
      <c r="E65">
        <v>100</v>
      </c>
      <c r="F65" s="17" t="b">
        <v>1</v>
      </c>
      <c r="H65" t="s">
        <v>822</v>
      </c>
    </row>
    <row r="66" spans="1:8">
      <c r="A66" t="s">
        <v>209</v>
      </c>
      <c r="B66" s="21">
        <v>100102026</v>
      </c>
      <c r="C66">
        <v>1001</v>
      </c>
      <c r="D66">
        <v>2026</v>
      </c>
      <c r="E66">
        <v>100</v>
      </c>
      <c r="F66" s="17" t="b">
        <v>1</v>
      </c>
      <c r="H66" t="s">
        <v>822</v>
      </c>
    </row>
    <row r="67" spans="1:8">
      <c r="A67" t="s">
        <v>209</v>
      </c>
      <c r="B67" s="21">
        <v>100102027</v>
      </c>
      <c r="C67">
        <v>1001</v>
      </c>
      <c r="D67">
        <v>2027</v>
      </c>
      <c r="E67">
        <v>100</v>
      </c>
      <c r="F67" s="17" t="b">
        <v>1</v>
      </c>
      <c r="H67" t="s">
        <v>822</v>
      </c>
    </row>
    <row r="68" spans="1:8">
      <c r="A68" t="s">
        <v>209</v>
      </c>
      <c r="B68" s="21">
        <v>100102028</v>
      </c>
      <c r="C68">
        <v>1001</v>
      </c>
      <c r="D68">
        <v>2028</v>
      </c>
      <c r="E68">
        <v>100</v>
      </c>
      <c r="F68" s="17" t="b">
        <v>1</v>
      </c>
      <c r="H68" t="s">
        <v>822</v>
      </c>
    </row>
    <row r="69" spans="1:8">
      <c r="A69" t="s">
        <v>209</v>
      </c>
      <c r="B69" s="21">
        <v>100102029</v>
      </c>
      <c r="C69">
        <v>1001</v>
      </c>
      <c r="D69">
        <v>2029</v>
      </c>
      <c r="E69">
        <v>100</v>
      </c>
      <c r="F69" s="17" t="b">
        <v>1</v>
      </c>
      <c r="H69" t="s">
        <v>822</v>
      </c>
    </row>
    <row r="70" spans="1:8">
      <c r="A70" t="s">
        <v>209</v>
      </c>
      <c r="B70" s="21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H70" t="s">
        <v>822</v>
      </c>
    </row>
    <row r="71" spans="1:8">
      <c r="A71" t="s">
        <v>209</v>
      </c>
      <c r="B71" s="21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H71" t="s">
        <v>822</v>
      </c>
    </row>
    <row r="72" spans="1:8">
      <c r="A72" t="s">
        <v>209</v>
      </c>
      <c r="B72" s="21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H72" t="s">
        <v>822</v>
      </c>
    </row>
    <row r="73" spans="1:8">
      <c r="A73" t="s">
        <v>209</v>
      </c>
      <c r="B73" s="21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H73" t="s">
        <v>822</v>
      </c>
    </row>
    <row r="74" spans="1:8">
      <c r="A74" t="s">
        <v>209</v>
      </c>
      <c r="B74" s="21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H74" t="s">
        <v>822</v>
      </c>
    </row>
    <row r="75" spans="1:8">
      <c r="A75" t="s">
        <v>209</v>
      </c>
      <c r="B75" s="21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H75" t="s">
        <v>822</v>
      </c>
    </row>
    <row r="76" spans="1:8">
      <c r="A76" t="s">
        <v>209</v>
      </c>
      <c r="B76" s="21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H76" t="s">
        <v>822</v>
      </c>
    </row>
    <row r="77" spans="1:8">
      <c r="A77" t="s">
        <v>209</v>
      </c>
      <c r="B77" s="21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H77" t="s">
        <v>822</v>
      </c>
    </row>
    <row r="78" spans="1:8">
      <c r="A78" t="s">
        <v>209</v>
      </c>
      <c r="B78" s="21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H78" t="s">
        <v>822</v>
      </c>
    </row>
    <row r="79" spans="1:8">
      <c r="A79" t="s">
        <v>209</v>
      </c>
      <c r="B79" s="21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H79" t="s">
        <v>822</v>
      </c>
    </row>
    <row r="80" spans="1:8">
      <c r="A80" t="s">
        <v>209</v>
      </c>
      <c r="B80" s="21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H80" t="s">
        <v>822</v>
      </c>
    </row>
    <row r="81" spans="1:8">
      <c r="A81" t="s">
        <v>209</v>
      </c>
      <c r="B81" s="21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H81" t="s">
        <v>822</v>
      </c>
    </row>
    <row r="82" spans="1:8">
      <c r="A82" t="s">
        <v>209</v>
      </c>
      <c r="B82" s="21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H82" t="s">
        <v>822</v>
      </c>
    </row>
    <row r="83" spans="1:8">
      <c r="A83" t="s">
        <v>209</v>
      </c>
      <c r="B83" s="21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H83" t="s">
        <v>822</v>
      </c>
    </row>
    <row r="84" spans="1:8">
      <c r="A84" t="s">
        <v>209</v>
      </c>
      <c r="B84" s="21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H84" t="s">
        <v>822</v>
      </c>
    </row>
    <row r="85" spans="1:8">
      <c r="A85" t="s">
        <v>209</v>
      </c>
      <c r="B85" s="21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H85" t="s">
        <v>822</v>
      </c>
    </row>
    <row r="86" spans="1:8">
      <c r="A86" t="s">
        <v>209</v>
      </c>
      <c r="B86" s="21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H86" t="s">
        <v>822</v>
      </c>
    </row>
    <row r="87" spans="1:8">
      <c r="A87" t="s">
        <v>209</v>
      </c>
      <c r="B87" s="21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H87" t="s">
        <v>822</v>
      </c>
    </row>
    <row r="88" spans="1:8">
      <c r="A88" t="s">
        <v>209</v>
      </c>
      <c r="B88" s="21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H88" t="s">
        <v>822</v>
      </c>
    </row>
    <row r="89" spans="1:8">
      <c r="A89" t="s">
        <v>209</v>
      </c>
      <c r="B89" s="21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H89" t="s">
        <v>822</v>
      </c>
    </row>
    <row r="90" spans="1:8">
      <c r="A90" t="s">
        <v>209</v>
      </c>
      <c r="B90" s="21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H90" t="s">
        <v>822</v>
      </c>
    </row>
    <row r="91" spans="1:8">
      <c r="A91" t="s">
        <v>209</v>
      </c>
      <c r="B91" s="21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H91" t="s">
        <v>822</v>
      </c>
    </row>
    <row r="92" spans="1:8">
      <c r="A92" t="s">
        <v>209</v>
      </c>
      <c r="B92" s="21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H92" t="s">
        <v>822</v>
      </c>
    </row>
    <row r="93" spans="1:8">
      <c r="A93" t="s">
        <v>209</v>
      </c>
      <c r="B93" s="21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H93" t="s">
        <v>822</v>
      </c>
    </row>
    <row r="94" spans="1:8">
      <c r="A94" t="s">
        <v>209</v>
      </c>
      <c r="B94" s="21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H94" t="s">
        <v>822</v>
      </c>
    </row>
    <row r="95" spans="1:8">
      <c r="A95" t="s">
        <v>209</v>
      </c>
      <c r="B95" s="21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H95" t="s">
        <v>822</v>
      </c>
    </row>
    <row r="96" spans="1:8">
      <c r="A96" t="s">
        <v>209</v>
      </c>
      <c r="B96" s="21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H96" t="s">
        <v>822</v>
      </c>
    </row>
    <row r="97" spans="1:8">
      <c r="A97" t="s">
        <v>209</v>
      </c>
      <c r="B97" s="21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H97" t="s">
        <v>822</v>
      </c>
    </row>
    <row r="98" spans="1:8">
      <c r="A98" t="s">
        <v>209</v>
      </c>
      <c r="B98" s="21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H98" t="s">
        <v>822</v>
      </c>
    </row>
    <row r="99" spans="1:8">
      <c r="A99" t="s">
        <v>209</v>
      </c>
      <c r="B99" s="21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H99" t="s">
        <v>822</v>
      </c>
    </row>
    <row r="100" spans="1:8">
      <c r="A100" t="s">
        <v>209</v>
      </c>
      <c r="B100" s="21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H100" t="s">
        <v>822</v>
      </c>
    </row>
    <row r="101" spans="1:8">
      <c r="A101" t="s">
        <v>209</v>
      </c>
      <c r="B101" s="21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H101" t="s">
        <v>822</v>
      </c>
    </row>
    <row r="102" spans="1:8">
      <c r="A102" t="s">
        <v>209</v>
      </c>
      <c r="B102" s="21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H102" t="s">
        <v>822</v>
      </c>
    </row>
    <row r="103" spans="1:8">
      <c r="A103" t="s">
        <v>209</v>
      </c>
      <c r="B103" s="21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H103" t="s">
        <v>822</v>
      </c>
    </row>
    <row r="104" spans="1:8">
      <c r="A104" t="s">
        <v>209</v>
      </c>
      <c r="B104" s="21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H104" t="s">
        <v>822</v>
      </c>
    </row>
    <row r="105" spans="1:8">
      <c r="A105" t="s">
        <v>209</v>
      </c>
      <c r="B105" s="21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H105" t="s">
        <v>822</v>
      </c>
    </row>
    <row r="106" spans="1:8">
      <c r="A106" t="s">
        <v>209</v>
      </c>
      <c r="B106" s="21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H106" t="s">
        <v>822</v>
      </c>
    </row>
    <row r="107" spans="1:8">
      <c r="A107" t="s">
        <v>209</v>
      </c>
      <c r="B107" s="21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H107" t="s">
        <v>822</v>
      </c>
    </row>
    <row r="108" spans="1:8">
      <c r="A108" t="s">
        <v>209</v>
      </c>
      <c r="B108" s="21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H108" t="s">
        <v>822</v>
      </c>
    </row>
    <row r="109" spans="1:8">
      <c r="A109" t="s">
        <v>209</v>
      </c>
      <c r="B109" s="21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H109" t="s">
        <v>822</v>
      </c>
    </row>
    <row r="110" spans="1:8">
      <c r="A110" t="s">
        <v>209</v>
      </c>
      <c r="B110" s="21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H110" t="s">
        <v>822</v>
      </c>
    </row>
    <row r="111" spans="1:8">
      <c r="A111" t="s">
        <v>209</v>
      </c>
      <c r="B111" s="21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H111" t="s">
        <v>822</v>
      </c>
    </row>
    <row r="112" spans="1:8">
      <c r="A112" t="s">
        <v>209</v>
      </c>
      <c r="B112" s="21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H112" t="s">
        <v>822</v>
      </c>
    </row>
    <row r="113" spans="1:8">
      <c r="A113" t="s">
        <v>209</v>
      </c>
      <c r="B113" s="21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H113" t="s">
        <v>822</v>
      </c>
    </row>
    <row r="114" spans="1:8">
      <c r="A114" t="s">
        <v>209</v>
      </c>
      <c r="B114" s="21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H114" t="s">
        <v>822</v>
      </c>
    </row>
    <row r="115" spans="1:8">
      <c r="A115" t="s">
        <v>209</v>
      </c>
      <c r="B115" s="21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H115" t="s">
        <v>822</v>
      </c>
    </row>
    <row r="116" spans="1:8">
      <c r="A116" t="s">
        <v>209</v>
      </c>
      <c r="B116" s="21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H116" t="s">
        <v>822</v>
      </c>
    </row>
    <row r="117" spans="1:8">
      <c r="A117" t="s">
        <v>209</v>
      </c>
      <c r="B117" s="21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H117" t="s">
        <v>822</v>
      </c>
    </row>
    <row r="118" spans="1:8">
      <c r="A118" t="s">
        <v>209</v>
      </c>
      <c r="B118" s="21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H118" t="s">
        <v>822</v>
      </c>
    </row>
    <row r="119" spans="1:8">
      <c r="A119" t="s">
        <v>209</v>
      </c>
      <c r="B119" s="21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H119" t="s">
        <v>822</v>
      </c>
    </row>
    <row r="120" spans="1:8">
      <c r="A120" t="s">
        <v>209</v>
      </c>
      <c r="B120" s="21">
        <v>100108013</v>
      </c>
      <c r="C120">
        <v>1001</v>
      </c>
      <c r="D120">
        <v>8013</v>
      </c>
      <c r="E120">
        <v>200</v>
      </c>
      <c r="F120" s="17" t="b">
        <v>1</v>
      </c>
      <c r="H120" t="s">
        <v>822</v>
      </c>
    </row>
    <row r="121" spans="1:8">
      <c r="A121" t="s">
        <v>209</v>
      </c>
      <c r="B121" s="21">
        <v>100112001</v>
      </c>
      <c r="C121">
        <v>1001</v>
      </c>
      <c r="D121">
        <v>12001</v>
      </c>
      <c r="E121">
        <v>120</v>
      </c>
      <c r="F121" s="17" t="b">
        <v>1</v>
      </c>
      <c r="H121" t="s">
        <v>822</v>
      </c>
    </row>
    <row r="122" spans="1:8">
      <c r="A122" t="s">
        <v>209</v>
      </c>
      <c r="B122" s="21">
        <v>100112002</v>
      </c>
      <c r="C122">
        <v>1001</v>
      </c>
      <c r="D122">
        <v>12002</v>
      </c>
      <c r="E122">
        <v>120</v>
      </c>
      <c r="F122" s="17" t="b">
        <v>1</v>
      </c>
      <c r="H122" t="s">
        <v>822</v>
      </c>
    </row>
    <row r="123" spans="1:8">
      <c r="A123" t="s">
        <v>209</v>
      </c>
      <c r="B123" s="21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H123" t="s">
        <v>828</v>
      </c>
    </row>
    <row r="124" spans="1:8">
      <c r="A124" t="s">
        <v>209</v>
      </c>
      <c r="B124" s="21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H124" t="s">
        <v>828</v>
      </c>
    </row>
    <row r="125" spans="1:8">
      <c r="A125" t="s">
        <v>209</v>
      </c>
      <c r="B125" s="21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H125" t="s">
        <v>828</v>
      </c>
    </row>
    <row r="126" spans="1:8">
      <c r="A126" t="s">
        <v>209</v>
      </c>
      <c r="B126" s="21">
        <f t="shared" si="1"/>
        <v>100201005</v>
      </c>
      <c r="C126">
        <v>1002</v>
      </c>
      <c r="D126">
        <v>1005</v>
      </c>
      <c r="E126" s="22">
        <v>190</v>
      </c>
      <c r="F126" s="17" t="b">
        <v>1</v>
      </c>
      <c r="H126" t="s">
        <v>828</v>
      </c>
    </row>
    <row r="127" spans="1:8">
      <c r="A127" t="s">
        <v>209</v>
      </c>
      <c r="B127" s="21">
        <f t="shared" si="1"/>
        <v>100201006</v>
      </c>
      <c r="C127">
        <v>1002</v>
      </c>
      <c r="D127">
        <v>1006</v>
      </c>
      <c r="E127" s="22">
        <v>150</v>
      </c>
      <c r="F127" s="17" t="b">
        <v>1</v>
      </c>
      <c r="H127" t="s">
        <v>828</v>
      </c>
    </row>
    <row r="128" spans="1:8">
      <c r="A128" t="s">
        <v>209</v>
      </c>
      <c r="B128" s="21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H128" t="s">
        <v>828</v>
      </c>
    </row>
    <row r="129" spans="1:8">
      <c r="A129" t="s">
        <v>209</v>
      </c>
      <c r="B129" s="21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H129" t="s">
        <v>828</v>
      </c>
    </row>
    <row r="130" spans="1:8">
      <c r="A130" t="s">
        <v>209</v>
      </c>
      <c r="B130" s="21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H130" t="s">
        <v>828</v>
      </c>
    </row>
    <row r="131" spans="1:8">
      <c r="A131" t="s">
        <v>209</v>
      </c>
      <c r="B131" s="21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H131" t="s">
        <v>828</v>
      </c>
    </row>
    <row r="132" spans="1:8">
      <c r="A132" t="s">
        <v>209</v>
      </c>
      <c r="B132" s="21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H132" t="s">
        <v>828</v>
      </c>
    </row>
    <row r="133" spans="1:8">
      <c r="A133" t="s">
        <v>209</v>
      </c>
      <c r="B133" s="21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H133" t="s">
        <v>828</v>
      </c>
    </row>
    <row r="134" spans="1:8">
      <c r="B134" s="21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H134" t="s">
        <v>828</v>
      </c>
    </row>
    <row r="135" spans="1:8">
      <c r="B135" s="21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H135" t="s">
        <v>828</v>
      </c>
    </row>
    <row r="136" spans="1:8">
      <c r="B136" s="21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H136" t="s">
        <v>828</v>
      </c>
    </row>
    <row r="137" spans="1:8">
      <c r="B137" s="21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H137" t="s">
        <v>828</v>
      </c>
    </row>
    <row r="138" spans="1:8">
      <c r="B138" s="21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H138" t="s">
        <v>828</v>
      </c>
    </row>
    <row r="139" spans="1:8">
      <c r="B139" s="21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H139" t="s">
        <v>828</v>
      </c>
    </row>
    <row r="140" spans="1:8">
      <c r="B140" s="21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H140" t="s">
        <v>828</v>
      </c>
    </row>
    <row r="141" spans="1:8">
      <c r="B141" s="21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H141" t="s">
        <v>828</v>
      </c>
    </row>
    <row r="142" spans="1:8">
      <c r="B142" s="21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H142" t="s">
        <v>828</v>
      </c>
    </row>
    <row r="143" spans="1:8">
      <c r="B143" s="21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H143" t="s">
        <v>828</v>
      </c>
    </row>
    <row r="144" spans="1:8">
      <c r="B144" s="21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H144" t="s">
        <v>828</v>
      </c>
    </row>
    <row r="145" spans="1:8">
      <c r="B145" s="21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H145" t="s">
        <v>828</v>
      </c>
    </row>
    <row r="146" spans="1:8">
      <c r="B146" s="21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H146" t="s">
        <v>828</v>
      </c>
    </row>
    <row r="147" spans="1:8">
      <c r="B147" s="21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H147" t="s">
        <v>828</v>
      </c>
    </row>
    <row r="148" spans="1:8">
      <c r="B148" s="21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H148" t="s">
        <v>828</v>
      </c>
    </row>
    <row r="149" spans="1:8">
      <c r="B149" s="21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H149" t="s">
        <v>828</v>
      </c>
    </row>
    <row r="150" spans="1:8">
      <c r="B150" s="21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H150" t="s">
        <v>828</v>
      </c>
    </row>
    <row r="151" spans="1:8">
      <c r="B151" s="21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H151" t="s">
        <v>828</v>
      </c>
    </row>
    <row r="152" spans="1:8">
      <c r="B152" s="21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H152" t="s">
        <v>828</v>
      </c>
    </row>
    <row r="153" spans="1:8">
      <c r="B153" s="21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H153" t="s">
        <v>828</v>
      </c>
    </row>
    <row r="154" spans="1:8">
      <c r="B154" s="21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H154" t="s">
        <v>828</v>
      </c>
    </row>
    <row r="155" spans="1:8">
      <c r="B155" s="21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H155" t="s">
        <v>828</v>
      </c>
    </row>
    <row r="156" spans="1:8">
      <c r="B156" s="21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H156" t="s">
        <v>828</v>
      </c>
    </row>
    <row r="157" spans="1:8">
      <c r="B157" s="21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H157" t="s">
        <v>828</v>
      </c>
    </row>
    <row r="158" spans="1:8">
      <c r="B158" s="21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H158" t="s">
        <v>828</v>
      </c>
    </row>
    <row r="159" spans="1:8">
      <c r="A159" t="s">
        <v>209</v>
      </c>
      <c r="B159" s="21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H159" t="s">
        <v>828</v>
      </c>
    </row>
    <row r="160" spans="1:8">
      <c r="A160" t="s">
        <v>209</v>
      </c>
      <c r="B160" s="21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H160" t="s">
        <v>828</v>
      </c>
    </row>
    <row r="161" spans="1:8">
      <c r="A161" t="s">
        <v>209</v>
      </c>
      <c r="B161" s="21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H161" t="s">
        <v>828</v>
      </c>
    </row>
    <row r="162" spans="1:8">
      <c r="A162" t="s">
        <v>209</v>
      </c>
      <c r="B162" s="21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H162" t="s">
        <v>828</v>
      </c>
    </row>
    <row r="163" spans="1:8">
      <c r="A163" t="s">
        <v>209</v>
      </c>
      <c r="B163" s="21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H163" t="s">
        <v>828</v>
      </c>
    </row>
    <row r="164" spans="1:8">
      <c r="A164" t="s">
        <v>209</v>
      </c>
      <c r="B164" s="21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H164" t="s">
        <v>828</v>
      </c>
    </row>
    <row r="165" spans="1:8">
      <c r="A165" t="s">
        <v>209</v>
      </c>
      <c r="B165" s="21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H165" t="s">
        <v>828</v>
      </c>
    </row>
    <row r="166" spans="1:8">
      <c r="A166" t="s">
        <v>209</v>
      </c>
      <c r="B166" s="21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H166" t="s">
        <v>828</v>
      </c>
    </row>
    <row r="167" spans="1:8">
      <c r="A167" t="s">
        <v>209</v>
      </c>
      <c r="B167" s="21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H167" t="s">
        <v>828</v>
      </c>
    </row>
    <row r="168" spans="1:8">
      <c r="A168" t="s">
        <v>209</v>
      </c>
      <c r="B168" s="21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H168" t="s">
        <v>828</v>
      </c>
    </row>
    <row r="169" spans="1:8">
      <c r="A169" t="s">
        <v>209</v>
      </c>
      <c r="B169" s="21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H169" t="s">
        <v>828</v>
      </c>
    </row>
    <row r="170" spans="1:8">
      <c r="A170" t="s">
        <v>209</v>
      </c>
      <c r="B170" s="21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H170" t="s">
        <v>828</v>
      </c>
    </row>
    <row r="171" spans="1:8">
      <c r="A171" t="s">
        <v>209</v>
      </c>
      <c r="B171" s="21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H171" t="s">
        <v>828</v>
      </c>
    </row>
    <row r="172" spans="1:8">
      <c r="A172" t="s">
        <v>209</v>
      </c>
      <c r="B172" s="21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H172" t="s">
        <v>828</v>
      </c>
    </row>
    <row r="173" spans="1:8">
      <c r="A173" t="s">
        <v>209</v>
      </c>
      <c r="B173" s="21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H173" t="s">
        <v>828</v>
      </c>
    </row>
    <row r="174" spans="1:8">
      <c r="A174" t="s">
        <v>209</v>
      </c>
      <c r="B174" s="21">
        <f t="shared" si="2"/>
        <v>100202016</v>
      </c>
      <c r="C174">
        <v>1002</v>
      </c>
      <c r="D174">
        <v>2016</v>
      </c>
      <c r="E174" s="22">
        <v>100</v>
      </c>
      <c r="F174" s="17" t="b">
        <v>1</v>
      </c>
      <c r="H174" t="s">
        <v>828</v>
      </c>
    </row>
    <row r="175" spans="1:8">
      <c r="A175" t="s">
        <v>209</v>
      </c>
      <c r="B175" s="21">
        <f t="shared" si="2"/>
        <v>100202017</v>
      </c>
      <c r="C175">
        <v>1002</v>
      </c>
      <c r="D175">
        <v>2017</v>
      </c>
      <c r="E175" s="22">
        <v>100</v>
      </c>
      <c r="F175" s="17" t="b">
        <v>1</v>
      </c>
      <c r="H175" t="s">
        <v>828</v>
      </c>
    </row>
    <row r="176" spans="1:8">
      <c r="A176" t="s">
        <v>209</v>
      </c>
      <c r="B176" s="21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H176" t="s">
        <v>828</v>
      </c>
    </row>
    <row r="177" spans="1:8">
      <c r="A177" t="s">
        <v>209</v>
      </c>
      <c r="B177" s="21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H177" t="s">
        <v>828</v>
      </c>
    </row>
    <row r="178" spans="1:8">
      <c r="A178" t="s">
        <v>209</v>
      </c>
      <c r="B178" s="21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H178" t="s">
        <v>828</v>
      </c>
    </row>
    <row r="179" spans="1:8">
      <c r="A179" t="s">
        <v>209</v>
      </c>
      <c r="B179" s="21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H179" t="s">
        <v>828</v>
      </c>
    </row>
    <row r="180" spans="1:8">
      <c r="A180" t="s">
        <v>209</v>
      </c>
      <c r="B180" s="21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H180" t="s">
        <v>828</v>
      </c>
    </row>
    <row r="181" spans="1:8">
      <c r="A181" t="s">
        <v>209</v>
      </c>
      <c r="B181" s="21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H181" t="s">
        <v>828</v>
      </c>
    </row>
    <row r="182" spans="1:8">
      <c r="A182" t="s">
        <v>209</v>
      </c>
      <c r="B182" s="21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H182" t="s">
        <v>828</v>
      </c>
    </row>
    <row r="183" spans="1:8">
      <c r="A183" t="s">
        <v>209</v>
      </c>
      <c r="B183" s="21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H183" t="s">
        <v>828</v>
      </c>
    </row>
    <row r="184" spans="1:8">
      <c r="A184" t="s">
        <v>209</v>
      </c>
      <c r="B184" s="21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H184" t="s">
        <v>828</v>
      </c>
    </row>
    <row r="185" spans="1:8">
      <c r="A185" t="s">
        <v>209</v>
      </c>
      <c r="B185" s="21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H185" t="s">
        <v>828</v>
      </c>
    </row>
    <row r="186" spans="1:8">
      <c r="A186" t="s">
        <v>209</v>
      </c>
      <c r="B186" s="21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H186" t="s">
        <v>828</v>
      </c>
    </row>
    <row r="187" spans="1:8">
      <c r="A187" t="s">
        <v>209</v>
      </c>
      <c r="B187" s="21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H187" t="s">
        <v>828</v>
      </c>
    </row>
    <row r="188" spans="1:8">
      <c r="A188" t="s">
        <v>209</v>
      </c>
      <c r="B188" s="21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H188" t="s">
        <v>828</v>
      </c>
    </row>
    <row r="189" spans="1:8">
      <c r="A189" t="s">
        <v>209</v>
      </c>
      <c r="B189" s="21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H189" t="s">
        <v>828</v>
      </c>
    </row>
    <row r="190" spans="1:8">
      <c r="A190" t="s">
        <v>209</v>
      </c>
      <c r="B190" s="21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H190" t="s">
        <v>828</v>
      </c>
    </row>
    <row r="191" spans="1:8">
      <c r="A191" t="s">
        <v>209</v>
      </c>
      <c r="B191" s="21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H191" t="s">
        <v>828</v>
      </c>
    </row>
    <row r="192" spans="1:8">
      <c r="A192" t="s">
        <v>209</v>
      </c>
      <c r="B192" s="21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H192" t="s">
        <v>828</v>
      </c>
    </row>
    <row r="193" spans="1:8">
      <c r="A193" t="s">
        <v>209</v>
      </c>
      <c r="B193" s="21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H193" t="s">
        <v>828</v>
      </c>
    </row>
    <row r="194" spans="1:8">
      <c r="A194" t="s">
        <v>209</v>
      </c>
      <c r="B194" s="21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H194" t="s">
        <v>828</v>
      </c>
    </row>
    <row r="195" spans="1:8">
      <c r="A195" t="s">
        <v>209</v>
      </c>
      <c r="B195" s="21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H195" t="s">
        <v>828</v>
      </c>
    </row>
    <row r="196" spans="1:8">
      <c r="A196" t="s">
        <v>209</v>
      </c>
      <c r="B196" s="21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H196" t="s">
        <v>828</v>
      </c>
    </row>
    <row r="197" spans="1:8">
      <c r="A197" t="s">
        <v>209</v>
      </c>
      <c r="B197" s="21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H197" t="s">
        <v>828</v>
      </c>
    </row>
    <row r="198" spans="1:8">
      <c r="A198" t="s">
        <v>209</v>
      </c>
      <c r="B198" s="21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H198" t="s">
        <v>828</v>
      </c>
    </row>
    <row r="199" spans="1:8">
      <c r="A199" t="s">
        <v>209</v>
      </c>
      <c r="B199" s="21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H199" t="s">
        <v>828</v>
      </c>
    </row>
    <row r="200" spans="1:8">
      <c r="A200" t="s">
        <v>209</v>
      </c>
      <c r="B200" s="21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H200" t="s">
        <v>828</v>
      </c>
    </row>
    <row r="201" spans="1:8">
      <c r="A201" t="s">
        <v>209</v>
      </c>
      <c r="B201" s="21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H201" t="s">
        <v>828</v>
      </c>
    </row>
    <row r="202" spans="1:8">
      <c r="A202" t="s">
        <v>209</v>
      </c>
      <c r="B202" s="21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H202" t="s">
        <v>828</v>
      </c>
    </row>
    <row r="203" spans="1:8">
      <c r="A203" t="s">
        <v>209</v>
      </c>
      <c r="B203" s="21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H203" t="s">
        <v>828</v>
      </c>
    </row>
    <row r="204" spans="1:8">
      <c r="A204" t="s">
        <v>209</v>
      </c>
      <c r="B204" s="21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H204" t="s">
        <v>828</v>
      </c>
    </row>
    <row r="205" spans="1:8">
      <c r="A205" t="s">
        <v>209</v>
      </c>
      <c r="B205" s="21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H205" t="s">
        <v>828</v>
      </c>
    </row>
    <row r="206" spans="1:8">
      <c r="A206" t="s">
        <v>209</v>
      </c>
      <c r="B206" s="21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H206" t="s">
        <v>828</v>
      </c>
    </row>
    <row r="207" spans="1:8">
      <c r="A207" t="s">
        <v>209</v>
      </c>
      <c r="B207" s="21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H207" t="s">
        <v>828</v>
      </c>
    </row>
    <row r="208" spans="1:8">
      <c r="A208" t="s">
        <v>209</v>
      </c>
      <c r="B208" s="21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H208" t="s">
        <v>828</v>
      </c>
    </row>
    <row r="209" spans="1:8">
      <c r="A209" t="s">
        <v>209</v>
      </c>
      <c r="B209" s="21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H209" t="s">
        <v>828</v>
      </c>
    </row>
    <row r="210" spans="1:8">
      <c r="A210" t="s">
        <v>209</v>
      </c>
      <c r="B210" s="21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H210" t="s">
        <v>828</v>
      </c>
    </row>
    <row r="211" spans="1:8">
      <c r="A211" t="s">
        <v>209</v>
      </c>
      <c r="B211" s="21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H211" t="s">
        <v>828</v>
      </c>
    </row>
    <row r="212" spans="1:8">
      <c r="A212" t="s">
        <v>209</v>
      </c>
      <c r="B212" s="21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H212" t="s">
        <v>828</v>
      </c>
    </row>
    <row r="213" spans="1:8">
      <c r="A213" t="s">
        <v>209</v>
      </c>
      <c r="B213" s="21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H213" t="s">
        <v>828</v>
      </c>
    </row>
    <row r="214" spans="1:8">
      <c r="A214" t="s">
        <v>209</v>
      </c>
      <c r="B214" s="21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H214" t="s">
        <v>828</v>
      </c>
    </row>
    <row r="215" spans="1:8">
      <c r="A215" t="s">
        <v>209</v>
      </c>
      <c r="B215" s="21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H215" t="s">
        <v>828</v>
      </c>
    </row>
    <row r="216" spans="1:8">
      <c r="A216" t="s">
        <v>209</v>
      </c>
      <c r="B216" s="21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H216" t="s">
        <v>828</v>
      </c>
    </row>
    <row r="217" spans="1:8">
      <c r="A217" t="s">
        <v>209</v>
      </c>
      <c r="B217" s="21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H217" t="s">
        <v>828</v>
      </c>
    </row>
    <row r="218" spans="1:8">
      <c r="A218" t="s">
        <v>209</v>
      </c>
      <c r="B218" s="21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H218" t="s">
        <v>828</v>
      </c>
    </row>
    <row r="219" spans="1:8">
      <c r="A219" t="s">
        <v>209</v>
      </c>
      <c r="B219" s="21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H219" t="s">
        <v>828</v>
      </c>
    </row>
    <row r="220" spans="1:8">
      <c r="A220" t="s">
        <v>209</v>
      </c>
      <c r="B220" s="21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H220" t="s">
        <v>828</v>
      </c>
    </row>
    <row r="221" spans="1:8">
      <c r="A221" t="s">
        <v>209</v>
      </c>
      <c r="B221" s="21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H221" t="s">
        <v>828</v>
      </c>
    </row>
    <row r="222" spans="1:8">
      <c r="A222" t="s">
        <v>209</v>
      </c>
      <c r="B222" s="21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H222" t="s">
        <v>828</v>
      </c>
    </row>
    <row r="223" spans="1:8">
      <c r="A223" t="s">
        <v>209</v>
      </c>
      <c r="B223" s="21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H223" t="s">
        <v>828</v>
      </c>
    </row>
    <row r="224" spans="1:8">
      <c r="A224" t="s">
        <v>209</v>
      </c>
      <c r="B224" s="21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H224" t="s">
        <v>828</v>
      </c>
    </row>
    <row r="225" spans="1:8">
      <c r="A225" t="s">
        <v>209</v>
      </c>
      <c r="B225" s="21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H225" t="s">
        <v>828</v>
      </c>
    </row>
    <row r="226" spans="1:8">
      <c r="A226" t="s">
        <v>209</v>
      </c>
      <c r="B226" s="21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H226" t="s">
        <v>828</v>
      </c>
    </row>
    <row r="227" spans="1:8">
      <c r="A227" t="s">
        <v>209</v>
      </c>
      <c r="B227" s="21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H227" t="s">
        <v>828</v>
      </c>
    </row>
    <row r="228" spans="1:8">
      <c r="A228" t="s">
        <v>209</v>
      </c>
      <c r="B228" s="21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H228" t="s">
        <v>828</v>
      </c>
    </row>
    <row r="229" spans="1:8">
      <c r="A229" t="s">
        <v>209</v>
      </c>
      <c r="B229" s="21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H229" t="s">
        <v>828</v>
      </c>
    </row>
    <row r="230" spans="1:8">
      <c r="A230" t="s">
        <v>209</v>
      </c>
      <c r="B230" s="21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H230" t="s">
        <v>828</v>
      </c>
    </row>
    <row r="231" spans="1:8">
      <c r="A231" t="s">
        <v>209</v>
      </c>
      <c r="B231" s="21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H231" t="s">
        <v>828</v>
      </c>
    </row>
    <row r="232" spans="1:8">
      <c r="A232" t="s">
        <v>209</v>
      </c>
      <c r="B232" s="21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H232" t="s">
        <v>828</v>
      </c>
    </row>
    <row r="233" spans="1:8">
      <c r="A233" t="s">
        <v>209</v>
      </c>
      <c r="B233" s="21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H233" t="s">
        <v>828</v>
      </c>
    </row>
    <row r="234" spans="1:8">
      <c r="A234" t="s">
        <v>209</v>
      </c>
      <c r="B234" s="21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H234" t="s">
        <v>828</v>
      </c>
    </row>
    <row r="235" spans="1:8">
      <c r="A235" t="s">
        <v>209</v>
      </c>
      <c r="B235" s="21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H235" t="s">
        <v>828</v>
      </c>
    </row>
    <row r="236" spans="1:8">
      <c r="A236" t="s">
        <v>209</v>
      </c>
      <c r="B236" s="21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H236" t="s">
        <v>828</v>
      </c>
    </row>
    <row r="237" spans="1:8">
      <c r="A237" t="s">
        <v>209</v>
      </c>
      <c r="B237" s="21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H237" t="s">
        <v>828</v>
      </c>
    </row>
    <row r="238" spans="1:8">
      <c r="A238" t="s">
        <v>209</v>
      </c>
      <c r="B238" s="21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H238" t="s">
        <v>828</v>
      </c>
    </row>
    <row r="239" spans="1:8">
      <c r="A239" t="s">
        <v>209</v>
      </c>
      <c r="B239" s="21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H239" t="s">
        <v>828</v>
      </c>
    </row>
    <row r="240" spans="1:8">
      <c r="A240" t="s">
        <v>209</v>
      </c>
      <c r="B240" s="21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H240" t="s">
        <v>828</v>
      </c>
    </row>
    <row r="241" spans="1:8">
      <c r="A241" t="s">
        <v>209</v>
      </c>
      <c r="B241" s="21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H241" t="s">
        <v>830</v>
      </c>
    </row>
    <row r="242" spans="1:8">
      <c r="A242" t="s">
        <v>209</v>
      </c>
      <c r="B242" s="21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H242" t="s">
        <v>830</v>
      </c>
    </row>
    <row r="243" spans="1:8">
      <c r="A243" t="s">
        <v>209</v>
      </c>
      <c r="B243" s="21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H243" t="s">
        <v>830</v>
      </c>
    </row>
    <row r="244" spans="1:8">
      <c r="A244" t="s">
        <v>209</v>
      </c>
      <c r="B244" s="21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H244" t="s">
        <v>830</v>
      </c>
    </row>
    <row r="245" spans="1:8">
      <c r="A245" t="s">
        <v>209</v>
      </c>
      <c r="B245" s="21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H245" t="s">
        <v>830</v>
      </c>
    </row>
    <row r="246" spans="1:8">
      <c r="A246" t="s">
        <v>209</v>
      </c>
      <c r="B246" s="21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H246" t="s">
        <v>830</v>
      </c>
    </row>
    <row r="247" spans="1:8">
      <c r="A247" t="s">
        <v>209</v>
      </c>
      <c r="B247" s="21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H247" t="s">
        <v>830</v>
      </c>
    </row>
    <row r="248" spans="1:8">
      <c r="A248" t="s">
        <v>209</v>
      </c>
      <c r="B248" s="21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H248" t="s">
        <v>830</v>
      </c>
    </row>
    <row r="249" spans="1:8">
      <c r="A249" t="s">
        <v>209</v>
      </c>
      <c r="B249" s="21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H249" t="s">
        <v>830</v>
      </c>
    </row>
    <row r="250" spans="1:8">
      <c r="A250" t="s">
        <v>209</v>
      </c>
      <c r="B250" s="21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H250" t="s">
        <v>830</v>
      </c>
    </row>
    <row r="251" spans="1:8">
      <c r="A251" t="s">
        <v>209</v>
      </c>
      <c r="B251" s="21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H251" t="s">
        <v>830</v>
      </c>
    </row>
    <row r="252" spans="1:8">
      <c r="A252" t="s">
        <v>209</v>
      </c>
      <c r="B252" s="21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H252" t="s">
        <v>913</v>
      </c>
    </row>
    <row r="253" spans="1:8">
      <c r="A253" t="s">
        <v>209</v>
      </c>
      <c r="B253" s="21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H253" t="s">
        <v>913</v>
      </c>
    </row>
    <row r="254" spans="1:8">
      <c r="A254" t="s">
        <v>209</v>
      </c>
      <c r="B254" s="21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H254" t="s">
        <v>913</v>
      </c>
    </row>
    <row r="255" spans="1:8">
      <c r="A255" t="s">
        <v>209</v>
      </c>
      <c r="B255" s="21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H255" t="s">
        <v>913</v>
      </c>
    </row>
    <row r="256" spans="1:8">
      <c r="B256" s="21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H256" t="s">
        <v>899</v>
      </c>
    </row>
    <row r="257" spans="2:8">
      <c r="B257" s="21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H257" t="s">
        <v>899</v>
      </c>
    </row>
    <row r="258" spans="2:8">
      <c r="B258" s="21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H258" t="s">
        <v>899</v>
      </c>
    </row>
    <row r="259" spans="2:8">
      <c r="B259" s="21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H259" t="s">
        <v>899</v>
      </c>
    </row>
    <row r="260" spans="2:8">
      <c r="B260" s="21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H260" t="s">
        <v>899</v>
      </c>
    </row>
    <row r="261" spans="2:8">
      <c r="B261" s="21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H261" t="s">
        <v>899</v>
      </c>
    </row>
    <row r="262" spans="2:8">
      <c r="B262" s="21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H262" t="s">
        <v>899</v>
      </c>
    </row>
    <row r="263" spans="2:8">
      <c r="B263" s="21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H263" t="s">
        <v>899</v>
      </c>
    </row>
    <row r="264" spans="2:8">
      <c r="B264" s="21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H264" t="s">
        <v>899</v>
      </c>
    </row>
    <row r="265" spans="2:8">
      <c r="B265" s="21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H265" t="s">
        <v>899</v>
      </c>
    </row>
    <row r="266" spans="2:8">
      <c r="B266" s="21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H266" t="s">
        <v>899</v>
      </c>
    </row>
    <row r="267" spans="2:8">
      <c r="B267" s="21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H267" t="s">
        <v>900</v>
      </c>
    </row>
    <row r="268" spans="2:8">
      <c r="B268" s="21">
        <v>200301011</v>
      </c>
      <c r="C268">
        <v>2003</v>
      </c>
      <c r="D268">
        <v>1011</v>
      </c>
      <c r="E268">
        <v>100</v>
      </c>
      <c r="F268" s="17" t="b">
        <v>1</v>
      </c>
      <c r="H268" t="s">
        <v>900</v>
      </c>
    </row>
    <row r="269" spans="2:8">
      <c r="B269" s="21">
        <v>200301013</v>
      </c>
      <c r="C269">
        <v>2003</v>
      </c>
      <c r="D269">
        <v>1013</v>
      </c>
      <c r="E269">
        <v>100</v>
      </c>
      <c r="F269" s="17" t="b">
        <v>1</v>
      </c>
      <c r="H269" t="s">
        <v>900</v>
      </c>
    </row>
    <row r="270" spans="2:8">
      <c r="B270" s="21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H270" t="s">
        <v>900</v>
      </c>
    </row>
    <row r="271" spans="2:8">
      <c r="B271" s="21">
        <f t="shared" ref="B271:B285" si="6">C271*100000+D271</f>
        <v>400202003</v>
      </c>
      <c r="C271">
        <v>4002</v>
      </c>
      <c r="D271">
        <v>2003</v>
      </c>
      <c r="E271">
        <v>100</v>
      </c>
      <c r="F271" s="17" t="b">
        <v>1</v>
      </c>
      <c r="G271" s="18">
        <v>1</v>
      </c>
    </row>
    <row r="272" spans="2:8">
      <c r="B272" s="21">
        <f t="shared" si="6"/>
        <v>400202009</v>
      </c>
      <c r="C272">
        <v>4002</v>
      </c>
      <c r="D272">
        <v>2009</v>
      </c>
      <c r="E272">
        <v>100</v>
      </c>
      <c r="F272" s="17" t="b">
        <v>1</v>
      </c>
      <c r="G272" s="18">
        <v>2</v>
      </c>
    </row>
    <row r="273" spans="2:7">
      <c r="B273" s="21">
        <f t="shared" si="6"/>
        <v>400202022</v>
      </c>
      <c r="C273">
        <v>4002</v>
      </c>
      <c r="D273">
        <v>2022</v>
      </c>
      <c r="E273">
        <v>100</v>
      </c>
      <c r="F273" s="17" t="b">
        <v>1</v>
      </c>
      <c r="G273" s="18">
        <v>3</v>
      </c>
    </row>
    <row r="274" spans="2:7">
      <c r="B274" s="21">
        <f t="shared" si="6"/>
        <v>400202029</v>
      </c>
      <c r="C274">
        <v>4002</v>
      </c>
      <c r="D274">
        <v>2029</v>
      </c>
      <c r="E274">
        <v>100</v>
      </c>
      <c r="F274" s="17" t="b">
        <v>1</v>
      </c>
      <c r="G274" s="18">
        <v>4</v>
      </c>
    </row>
    <row r="275" spans="2:7">
      <c r="B275" s="21">
        <f t="shared" si="6"/>
        <v>400202032</v>
      </c>
      <c r="C275">
        <v>4002</v>
      </c>
      <c r="D275">
        <v>2032</v>
      </c>
      <c r="E275">
        <v>100</v>
      </c>
      <c r="F275" s="17" t="b">
        <v>1</v>
      </c>
      <c r="G275" s="18">
        <v>5</v>
      </c>
    </row>
    <row r="276" spans="2:7">
      <c r="B276" s="21">
        <f t="shared" si="6"/>
        <v>400205004</v>
      </c>
      <c r="C276">
        <v>4002</v>
      </c>
      <c r="D276">
        <v>5004</v>
      </c>
      <c r="E276">
        <v>100</v>
      </c>
      <c r="F276" s="17" t="b">
        <v>1</v>
      </c>
      <c r="G276" s="18">
        <v>6</v>
      </c>
    </row>
    <row r="277" spans="2:7">
      <c r="B277" s="21">
        <f t="shared" si="6"/>
        <v>400206006</v>
      </c>
      <c r="C277">
        <v>4002</v>
      </c>
      <c r="D277">
        <v>6006</v>
      </c>
      <c r="E277">
        <v>100</v>
      </c>
      <c r="F277" s="17" t="b">
        <v>1</v>
      </c>
      <c r="G277" s="18">
        <v>7</v>
      </c>
    </row>
    <row r="278" spans="2:7">
      <c r="B278" s="21">
        <f t="shared" si="6"/>
        <v>400208005</v>
      </c>
      <c r="C278">
        <v>4002</v>
      </c>
      <c r="D278">
        <v>8005</v>
      </c>
      <c r="E278">
        <v>100</v>
      </c>
      <c r="F278" s="17" t="b">
        <v>1</v>
      </c>
      <c r="G278" s="18">
        <v>8</v>
      </c>
    </row>
    <row r="279" spans="2:7">
      <c r="B279" s="21">
        <f t="shared" si="6"/>
        <v>400206008</v>
      </c>
      <c r="C279">
        <v>4002</v>
      </c>
      <c r="D279">
        <v>6008</v>
      </c>
      <c r="E279">
        <v>100</v>
      </c>
      <c r="F279" s="17" t="b">
        <v>1</v>
      </c>
      <c r="G279" s="18">
        <v>9</v>
      </c>
    </row>
    <row r="280" spans="2:7">
      <c r="B280" s="21">
        <f t="shared" si="6"/>
        <v>400207008</v>
      </c>
      <c r="C280">
        <v>4002</v>
      </c>
      <c r="D280">
        <v>7008</v>
      </c>
      <c r="E280">
        <v>100</v>
      </c>
      <c r="F280" s="17" t="b">
        <v>1</v>
      </c>
      <c r="G280" s="18">
        <v>10</v>
      </c>
    </row>
    <row r="281" spans="2:7">
      <c r="B281" s="21">
        <f t="shared" si="6"/>
        <v>400208012</v>
      </c>
      <c r="C281">
        <v>4002</v>
      </c>
      <c r="D281">
        <v>8012</v>
      </c>
      <c r="E281">
        <v>100</v>
      </c>
      <c r="F281" s="17" t="b">
        <v>1</v>
      </c>
      <c r="G281" s="18">
        <v>11</v>
      </c>
    </row>
    <row r="282" spans="2:7">
      <c r="B282" s="21">
        <f t="shared" si="6"/>
        <v>400201008</v>
      </c>
      <c r="C282">
        <v>4002</v>
      </c>
      <c r="D282">
        <v>1008</v>
      </c>
      <c r="E282">
        <v>100</v>
      </c>
      <c r="F282" s="17" t="b">
        <v>1</v>
      </c>
      <c r="G282" s="18">
        <v>12</v>
      </c>
    </row>
    <row r="283" spans="2:7">
      <c r="B283" s="21">
        <f t="shared" si="6"/>
        <v>400201011</v>
      </c>
      <c r="C283">
        <v>4002</v>
      </c>
      <c r="D283">
        <v>1011</v>
      </c>
      <c r="E283">
        <v>100</v>
      </c>
      <c r="F283" s="17" t="b">
        <v>1</v>
      </c>
      <c r="G283" s="18">
        <v>13</v>
      </c>
    </row>
    <row r="284" spans="2:7">
      <c r="B284" s="21">
        <f t="shared" si="6"/>
        <v>400201013</v>
      </c>
      <c r="C284">
        <v>4002</v>
      </c>
      <c r="D284">
        <v>1013</v>
      </c>
      <c r="E284">
        <v>100</v>
      </c>
      <c r="F284" s="17" t="b">
        <v>1</v>
      </c>
      <c r="G284" s="18">
        <v>14</v>
      </c>
    </row>
    <row r="285" spans="2:7">
      <c r="B285" s="21">
        <f t="shared" si="6"/>
        <v>400202013</v>
      </c>
      <c r="C285">
        <v>4002</v>
      </c>
      <c r="D285">
        <v>2013</v>
      </c>
      <c r="E285">
        <v>100</v>
      </c>
      <c r="F285" s="17" t="b">
        <v>1</v>
      </c>
      <c r="G285" s="18">
        <v>15</v>
      </c>
    </row>
  </sheetData>
  <conditionalFormatting sqref="H$1:H$1048576">
    <cfRule type="cellIs" dxfId="9" priority="1" operator="equal">
      <formula>"Demo盲盒狗"</formula>
    </cfRule>
    <cfRule type="cellIs" dxfId="10" priority="3" operator="equal">
      <formula>"Demo盲盒普"</formula>
    </cfRule>
    <cfRule type="cellIs" dxfId="11" priority="5" operator="equal">
      <formula>"新手盲盒"</formula>
    </cfRule>
    <cfRule type="cellIs" dxfId="12" priority="6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914</v>
      </c>
      <c r="D1" t="s">
        <v>892</v>
      </c>
      <c r="E1" t="s">
        <v>915</v>
      </c>
      <c r="F1" t="s">
        <v>916</v>
      </c>
      <c r="G1" t="s">
        <v>917</v>
      </c>
      <c r="H1" t="s">
        <v>918</v>
      </c>
      <c r="I1" t="s">
        <v>795</v>
      </c>
      <c r="J1" t="s">
        <v>919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923</v>
      </c>
      <c r="H3" s="2" t="s">
        <v>924</v>
      </c>
      <c r="I3" s="2" t="s">
        <v>821</v>
      </c>
      <c r="J3" s="2" t="s">
        <v>925</v>
      </c>
    </row>
    <row r="4" spans="1:11">
      <c r="A4" t="s">
        <v>39</v>
      </c>
      <c r="B4" t="s">
        <v>56</v>
      </c>
      <c r="C4" t="s">
        <v>926</v>
      </c>
      <c r="D4" t="s">
        <v>927</v>
      </c>
      <c r="E4" t="s">
        <v>928</v>
      </c>
      <c r="F4" t="s">
        <v>929</v>
      </c>
      <c r="G4" t="s">
        <v>929</v>
      </c>
      <c r="H4" t="s">
        <v>930</v>
      </c>
      <c r="I4" t="s">
        <v>821</v>
      </c>
      <c r="J4" t="s">
        <v>931</v>
      </c>
      <c r="K4" t="s">
        <v>897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932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932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932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932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932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932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932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933</v>
      </c>
      <c r="F1" t="s">
        <v>934</v>
      </c>
      <c r="G1" t="s">
        <v>935</v>
      </c>
      <c r="H1" t="s">
        <v>936</v>
      </c>
      <c r="I1" t="s">
        <v>937</v>
      </c>
      <c r="K1" t="s">
        <v>938</v>
      </c>
      <c r="L1" t="s">
        <v>939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940</v>
      </c>
      <c r="D3" s="2"/>
      <c r="E3" s="2" t="s">
        <v>941</v>
      </c>
      <c r="G3" s="2" t="s">
        <v>942</v>
      </c>
      <c r="H3" s="2" t="s">
        <v>943</v>
      </c>
      <c r="I3" s="2" t="s">
        <v>942</v>
      </c>
      <c r="K3" s="2" t="s">
        <v>944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945</v>
      </c>
      <c r="F4" t="s">
        <v>946</v>
      </c>
      <c r="G4" t="s">
        <v>947</v>
      </c>
      <c r="H4" t="s">
        <v>948</v>
      </c>
      <c r="I4" t="s">
        <v>949</v>
      </c>
      <c r="J4" t="s">
        <v>897</v>
      </c>
      <c r="K4" t="s">
        <v>950</v>
      </c>
      <c r="L4" t="s">
        <v>951</v>
      </c>
    </row>
    <row r="5" spans="1:12">
      <c r="B5">
        <v>1001</v>
      </c>
      <c r="C5" t="s">
        <v>669</v>
      </c>
      <c r="D5" t="s">
        <v>129</v>
      </c>
      <c r="E5" t="s">
        <v>952</v>
      </c>
      <c r="F5" t="s">
        <v>953</v>
      </c>
      <c r="H5" t="s">
        <v>954</v>
      </c>
      <c r="K5" t="s">
        <v>955</v>
      </c>
    </row>
    <row r="6" spans="1:12">
      <c r="B6">
        <v>1002</v>
      </c>
      <c r="C6" s="16" t="s">
        <v>675</v>
      </c>
      <c r="D6" s="16" t="s">
        <v>113</v>
      </c>
      <c r="E6" t="s">
        <v>956</v>
      </c>
      <c r="F6" t="s">
        <v>953</v>
      </c>
      <c r="H6" t="s">
        <v>957</v>
      </c>
      <c r="K6" t="s">
        <v>958</v>
      </c>
    </row>
    <row r="7" spans="1:12">
      <c r="B7">
        <v>1003</v>
      </c>
      <c r="C7" s="16" t="s">
        <v>682</v>
      </c>
      <c r="D7" s="16" t="s">
        <v>109</v>
      </c>
      <c r="E7" t="s">
        <v>959</v>
      </c>
      <c r="F7" t="s">
        <v>953</v>
      </c>
      <c r="H7" t="s">
        <v>960</v>
      </c>
      <c r="K7" t="s">
        <v>961</v>
      </c>
    </row>
    <row r="8" spans="1:12">
      <c r="B8">
        <v>1004</v>
      </c>
      <c r="C8" s="16" t="s">
        <v>689</v>
      </c>
      <c r="D8" s="16" t="s">
        <v>94</v>
      </c>
      <c r="E8" t="s">
        <v>962</v>
      </c>
      <c r="F8" t="s">
        <v>953</v>
      </c>
      <c r="H8" t="s">
        <v>963</v>
      </c>
      <c r="K8" t="s">
        <v>964</v>
      </c>
    </row>
    <row r="9" spans="1:12">
      <c r="B9">
        <v>1005</v>
      </c>
      <c r="C9" s="16" t="s">
        <v>696</v>
      </c>
      <c r="D9" s="16" t="s">
        <v>100</v>
      </c>
      <c r="E9" t="s">
        <v>965</v>
      </c>
      <c r="F9" t="s">
        <v>953</v>
      </c>
      <c r="H9" t="s">
        <v>966</v>
      </c>
      <c r="K9" t="s">
        <v>955</v>
      </c>
    </row>
    <row r="10" spans="1:12">
      <c r="B10">
        <v>1006</v>
      </c>
      <c r="C10" s="16" t="s">
        <v>703</v>
      </c>
      <c r="D10" s="16" t="s">
        <v>86</v>
      </c>
      <c r="E10" t="s">
        <v>967</v>
      </c>
      <c r="F10" t="s">
        <v>953</v>
      </c>
      <c r="H10" t="s">
        <v>968</v>
      </c>
      <c r="K10" t="s">
        <v>958</v>
      </c>
    </row>
    <row r="11" spans="1:12">
      <c r="B11">
        <v>2001</v>
      </c>
      <c r="C11" s="16" t="s">
        <v>710</v>
      </c>
      <c r="D11" s="16" t="s">
        <v>345</v>
      </c>
      <c r="E11" t="s">
        <v>967</v>
      </c>
      <c r="F11" t="s">
        <v>953</v>
      </c>
      <c r="H11" t="s">
        <v>968</v>
      </c>
      <c r="J11" t="s">
        <v>969</v>
      </c>
    </row>
    <row r="12" spans="1:12">
      <c r="B12">
        <v>2002</v>
      </c>
      <c r="C12" s="16" t="s">
        <v>717</v>
      </c>
      <c r="D12" s="16" t="s">
        <v>718</v>
      </c>
      <c r="E12" t="s">
        <v>967</v>
      </c>
      <c r="F12" t="s">
        <v>953</v>
      </c>
      <c r="H12" t="s">
        <v>968</v>
      </c>
      <c r="J12" t="s">
        <v>969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904</v>
      </c>
      <c r="C1" t="s">
        <v>970</v>
      </c>
      <c r="D1" t="s">
        <v>971</v>
      </c>
      <c r="F1" t="s">
        <v>972</v>
      </c>
      <c r="G1" t="s">
        <v>973</v>
      </c>
      <c r="H1" t="s">
        <v>974</v>
      </c>
      <c r="I1" t="s">
        <v>975</v>
      </c>
    </row>
    <row r="2" spans="1:10">
      <c r="A2" t="s">
        <v>28</v>
      </c>
      <c r="B2" t="s">
        <v>976</v>
      </c>
      <c r="C2" t="s">
        <v>29</v>
      </c>
      <c r="D2" t="s">
        <v>977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978</v>
      </c>
      <c r="C3" s="2" t="s">
        <v>979</v>
      </c>
      <c r="D3" s="2" t="s">
        <v>980</v>
      </c>
      <c r="F3" s="2" t="s">
        <v>981</v>
      </c>
      <c r="G3" s="2" t="s">
        <v>982</v>
      </c>
      <c r="H3" s="2" t="s">
        <v>983</v>
      </c>
      <c r="I3" s="2" t="s">
        <v>984</v>
      </c>
    </row>
    <row r="4" spans="1:10">
      <c r="A4" t="s">
        <v>39</v>
      </c>
      <c r="B4" t="s">
        <v>985</v>
      </c>
      <c r="C4" t="s">
        <v>986</v>
      </c>
      <c r="D4" t="s">
        <v>987</v>
      </c>
      <c r="E4" t="s">
        <v>988</v>
      </c>
      <c r="F4" t="s">
        <v>989</v>
      </c>
      <c r="G4" t="s">
        <v>990</v>
      </c>
      <c r="H4" t="s">
        <v>991</v>
      </c>
      <c r="I4" t="s">
        <v>992</v>
      </c>
      <c r="J4" t="s">
        <v>988</v>
      </c>
    </row>
    <row r="6" spans="1:10">
      <c r="B6">
        <v>9001</v>
      </c>
      <c r="C6">
        <v>30</v>
      </c>
      <c r="D6" t="s">
        <v>993</v>
      </c>
      <c r="E6" t="str">
        <f>LOOKUP(B6,Item!B:B,Item!I:I)</f>
        <v>史诗</v>
      </c>
      <c r="F6">
        <v>0.9</v>
      </c>
      <c r="G6" t="s">
        <v>994</v>
      </c>
      <c r="H6" t="s">
        <v>995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993</v>
      </c>
      <c r="E7" t="str">
        <f>LOOKUP(B7,Item!B:B,Item!I:I)</f>
        <v>稀有</v>
      </c>
      <c r="F7">
        <v>0.8</v>
      </c>
      <c r="G7" t="s">
        <v>994</v>
      </c>
      <c r="H7" t="s">
        <v>995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993</v>
      </c>
      <c r="E8" t="str">
        <f>LOOKUP(B8,Item!B:B,Item!I:I)</f>
        <v>稀有</v>
      </c>
      <c r="F8">
        <v>0.8</v>
      </c>
      <c r="G8" t="s">
        <v>994</v>
      </c>
      <c r="H8" t="s">
        <v>995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993</v>
      </c>
      <c r="E9" t="str">
        <f>LOOKUP(B9,Item!B:B,Item!I:I)</f>
        <v>史诗</v>
      </c>
      <c r="F9">
        <v>0.9</v>
      </c>
      <c r="G9" t="s">
        <v>994</v>
      </c>
      <c r="H9" t="s">
        <v>995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993</v>
      </c>
      <c r="E10" t="str">
        <f>LOOKUP(B10,Item!B:B,Item!I:I)</f>
        <v>稀有</v>
      </c>
      <c r="F10">
        <v>0.8</v>
      </c>
      <c r="G10" t="s">
        <v>994</v>
      </c>
      <c r="H10" t="s">
        <v>995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993</v>
      </c>
      <c r="E11" t="str">
        <f>LOOKUP(B11,Item!B:B,Item!I:I)</f>
        <v>稀有</v>
      </c>
      <c r="F11">
        <v>0.8</v>
      </c>
      <c r="G11" t="s">
        <v>994</v>
      </c>
      <c r="H11" t="s">
        <v>995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993</v>
      </c>
      <c r="E12" t="str">
        <f>LOOKUP(B12,Item!B:B,Item!I:I)</f>
        <v>稀有</v>
      </c>
      <c r="F12">
        <v>0.8</v>
      </c>
      <c r="G12" t="s">
        <v>994</v>
      </c>
      <c r="H12" t="s">
        <v>995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993</v>
      </c>
      <c r="E13" t="str">
        <f>LOOKUP(B13,Item!B:B,Item!I:I)</f>
        <v>史诗</v>
      </c>
      <c r="F13">
        <v>0.9</v>
      </c>
      <c r="G13" t="s">
        <v>994</v>
      </c>
      <c r="H13" t="s">
        <v>995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993</v>
      </c>
      <c r="E14" t="str">
        <f>LOOKUP(B14,Item!B:B,Item!I:I)</f>
        <v>优秀</v>
      </c>
      <c r="F14">
        <v>0.7</v>
      </c>
      <c r="G14" t="s">
        <v>994</v>
      </c>
      <c r="H14" t="s">
        <v>995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993</v>
      </c>
      <c r="E15" t="str">
        <f>LOOKUP(B15,Item!B:B,Item!I:I)</f>
        <v>传说</v>
      </c>
      <c r="F15">
        <v>0.9</v>
      </c>
      <c r="G15" t="s">
        <v>994</v>
      </c>
      <c r="H15" t="s">
        <v>995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993</v>
      </c>
      <c r="E16" t="str">
        <f>LOOKUP(B16,Item!B:B,Item!I:I)</f>
        <v>传说</v>
      </c>
      <c r="F16">
        <v>1</v>
      </c>
      <c r="G16" t="s">
        <v>994</v>
      </c>
      <c r="H16" t="s">
        <v>995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996</v>
      </c>
      <c r="D1" t="s">
        <v>997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998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999</v>
      </c>
      <c r="E3" t="s">
        <v>1000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1001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1002</v>
      </c>
      <c r="D6" t="s">
        <v>352</v>
      </c>
      <c r="E6">
        <v>3</v>
      </c>
    </row>
    <row r="7" spans="1:5">
      <c r="B7">
        <v>1004</v>
      </c>
      <c r="C7" t="s">
        <v>1003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1004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1005</v>
      </c>
      <c r="D1" t="s">
        <v>1006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1007</v>
      </c>
      <c r="D3" t="s">
        <v>1008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1009</v>
      </c>
      <c r="D1" t="s">
        <v>9</v>
      </c>
      <c r="E1" t="s">
        <v>1010</v>
      </c>
      <c r="F1" t="s">
        <v>795</v>
      </c>
      <c r="G1" t="s">
        <v>5</v>
      </c>
      <c r="H1" t="s">
        <v>1011</v>
      </c>
      <c r="I1" t="s">
        <v>1012</v>
      </c>
      <c r="J1" t="s">
        <v>1013</v>
      </c>
      <c r="K1" t="s">
        <v>1014</v>
      </c>
      <c r="L1" t="s">
        <v>1015</v>
      </c>
      <c r="M1" t="s">
        <v>1016</v>
      </c>
      <c r="N1" t="s">
        <v>1017</v>
      </c>
      <c r="O1" t="s">
        <v>1018</v>
      </c>
      <c r="P1" t="s">
        <v>1019</v>
      </c>
      <c r="Q1" t="s">
        <v>1020</v>
      </c>
      <c r="R1" t="s">
        <v>1021</v>
      </c>
      <c r="S1" t="s">
        <v>1022</v>
      </c>
      <c r="T1" t="s">
        <v>1023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1024</v>
      </c>
      <c r="N2" t="s">
        <v>1025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1026</v>
      </c>
      <c r="C3" s="2" t="s">
        <v>1027</v>
      </c>
      <c r="D3" s="2" t="s">
        <v>1028</v>
      </c>
      <c r="E3" s="2" t="s">
        <v>1029</v>
      </c>
      <c r="F3" s="2" t="s">
        <v>1030</v>
      </c>
      <c r="G3" s="2" t="s">
        <v>1031</v>
      </c>
      <c r="H3" s="2" t="s">
        <v>1032</v>
      </c>
      <c r="I3" s="2" t="s">
        <v>1033</v>
      </c>
      <c r="J3" s="2" t="s">
        <v>1034</v>
      </c>
      <c r="K3" s="2" t="s">
        <v>1035</v>
      </c>
      <c r="L3" s="2" t="s">
        <v>1036</v>
      </c>
      <c r="M3" s="2" t="s">
        <v>1037</v>
      </c>
      <c r="N3" s="2" t="s">
        <v>1038</v>
      </c>
      <c r="O3" s="2" t="s">
        <v>1039</v>
      </c>
      <c r="P3" s="2" t="s">
        <v>1040</v>
      </c>
      <c r="Q3" s="2" t="s">
        <v>1041</v>
      </c>
      <c r="R3" s="2" t="s">
        <v>1042</v>
      </c>
      <c r="S3" s="2" t="s">
        <v>1043</v>
      </c>
      <c r="T3" s="2" t="s">
        <v>1044</v>
      </c>
    </row>
    <row r="4" spans="1:21">
      <c r="A4" t="s">
        <v>39</v>
      </c>
      <c r="B4" t="s">
        <v>1045</v>
      </c>
      <c r="C4" t="s">
        <v>1046</v>
      </c>
      <c r="D4" t="s">
        <v>1047</v>
      </c>
      <c r="E4" t="s">
        <v>1048</v>
      </c>
      <c r="F4" t="s">
        <v>1049</v>
      </c>
      <c r="G4" t="s">
        <v>60</v>
      </c>
      <c r="H4" t="s">
        <v>1050</v>
      </c>
      <c r="I4" t="s">
        <v>1051</v>
      </c>
      <c r="J4" t="s">
        <v>1052</v>
      </c>
      <c r="K4" t="s">
        <v>1053</v>
      </c>
      <c r="L4" t="s">
        <v>1054</v>
      </c>
      <c r="M4" t="s">
        <v>1055</v>
      </c>
      <c r="N4" t="s">
        <v>1056</v>
      </c>
      <c r="O4" t="s">
        <v>1057</v>
      </c>
      <c r="P4" t="s">
        <v>1058</v>
      </c>
      <c r="Q4" t="s">
        <v>1059</v>
      </c>
      <c r="R4" t="s">
        <v>1060</v>
      </c>
      <c r="S4" t="s">
        <v>1061</v>
      </c>
      <c r="T4" t="s">
        <v>1062</v>
      </c>
      <c r="U4" t="s">
        <v>897</v>
      </c>
    </row>
    <row r="5" spans="1:21">
      <c r="B5">
        <v>1001</v>
      </c>
      <c r="C5" t="s">
        <v>1063</v>
      </c>
      <c r="D5">
        <v>30</v>
      </c>
      <c r="E5" t="b">
        <v>0</v>
      </c>
      <c r="F5" t="b">
        <v>0</v>
      </c>
      <c r="H5" t="s">
        <v>1064</v>
      </c>
      <c r="I5" t="s">
        <v>1065</v>
      </c>
      <c r="J5" t="s">
        <v>1066</v>
      </c>
      <c r="K5" t="s">
        <v>1067</v>
      </c>
      <c r="L5" t="s">
        <v>1068</v>
      </c>
      <c r="M5" t="s">
        <v>1069</v>
      </c>
      <c r="N5" t="s">
        <v>1070</v>
      </c>
      <c r="O5">
        <v>92005</v>
      </c>
      <c r="P5">
        <v>0</v>
      </c>
      <c r="Q5">
        <v>0</v>
      </c>
      <c r="U5" t="s">
        <v>1071</v>
      </c>
    </row>
    <row r="6" spans="1:21">
      <c r="B6">
        <v>1002</v>
      </c>
      <c r="C6" t="s">
        <v>1072</v>
      </c>
      <c r="D6">
        <v>10</v>
      </c>
      <c r="E6" t="b">
        <v>1</v>
      </c>
      <c r="F6" t="b">
        <v>0</v>
      </c>
      <c r="H6" t="s">
        <v>1073</v>
      </c>
      <c r="I6" t="s">
        <v>1074</v>
      </c>
      <c r="J6" t="s">
        <v>1066</v>
      </c>
      <c r="K6" t="s">
        <v>1075</v>
      </c>
      <c r="L6" t="s">
        <v>1075</v>
      </c>
      <c r="M6" t="s">
        <v>1069</v>
      </c>
      <c r="N6" t="s">
        <v>1076</v>
      </c>
      <c r="O6">
        <v>0</v>
      </c>
      <c r="P6">
        <v>2500</v>
      </c>
      <c r="Q6">
        <v>0</v>
      </c>
      <c r="U6" t="s">
        <v>1071</v>
      </c>
    </row>
    <row r="7" spans="1:21">
      <c r="B7">
        <v>1003</v>
      </c>
      <c r="C7" t="s">
        <v>1077</v>
      </c>
      <c r="D7">
        <v>20</v>
      </c>
      <c r="E7" t="b">
        <v>0</v>
      </c>
      <c r="F7" t="b">
        <v>0</v>
      </c>
      <c r="H7" t="s">
        <v>1078</v>
      </c>
      <c r="I7" t="s">
        <v>1079</v>
      </c>
      <c r="J7" t="s">
        <v>1066</v>
      </c>
      <c r="K7" t="s">
        <v>1080</v>
      </c>
      <c r="L7" t="s">
        <v>1081</v>
      </c>
      <c r="M7" t="s">
        <v>1069</v>
      </c>
      <c r="N7" t="s">
        <v>1076</v>
      </c>
      <c r="O7">
        <v>0</v>
      </c>
      <c r="P7">
        <v>2500</v>
      </c>
      <c r="Q7">
        <v>0</v>
      </c>
      <c r="U7" t="s">
        <v>1071</v>
      </c>
    </row>
    <row r="8" spans="1:21">
      <c r="B8">
        <v>1004</v>
      </c>
      <c r="C8" t="s">
        <v>1082</v>
      </c>
      <c r="D8">
        <v>40</v>
      </c>
      <c r="E8" t="b">
        <v>0</v>
      </c>
      <c r="F8" t="b">
        <v>0</v>
      </c>
      <c r="H8" t="s">
        <v>1083</v>
      </c>
      <c r="I8" t="s">
        <v>1084</v>
      </c>
      <c r="J8" t="s">
        <v>1066</v>
      </c>
      <c r="K8" t="s">
        <v>1085</v>
      </c>
      <c r="L8" t="s">
        <v>1085</v>
      </c>
      <c r="M8" t="s">
        <v>1069</v>
      </c>
      <c r="N8" t="s">
        <v>1070</v>
      </c>
      <c r="O8">
        <v>91012</v>
      </c>
      <c r="P8">
        <v>0</v>
      </c>
      <c r="Q8">
        <v>0</v>
      </c>
      <c r="U8" t="s">
        <v>1071</v>
      </c>
    </row>
    <row r="9" customFormat="1" spans="1:21">
      <c r="B9">
        <v>1005</v>
      </c>
      <c r="C9" t="s">
        <v>1063</v>
      </c>
      <c r="D9">
        <v>60</v>
      </c>
      <c r="E9" t="b">
        <v>0</v>
      </c>
      <c r="F9" t="b">
        <v>0</v>
      </c>
      <c r="H9" t="s">
        <v>1064</v>
      </c>
      <c r="I9" t="s">
        <v>1065</v>
      </c>
      <c r="J9" t="s">
        <v>1066</v>
      </c>
      <c r="K9" t="s">
        <v>1067</v>
      </c>
      <c r="L9" t="s">
        <v>1068</v>
      </c>
      <c r="M9" t="s">
        <v>1069</v>
      </c>
      <c r="N9" t="s">
        <v>1070</v>
      </c>
      <c r="O9">
        <v>92005</v>
      </c>
      <c r="P9">
        <v>0</v>
      </c>
      <c r="Q9">
        <v>0</v>
      </c>
      <c r="U9" t="s">
        <v>1071</v>
      </c>
    </row>
    <row r="10" customFormat="1" spans="1:21">
      <c r="B10">
        <v>1006</v>
      </c>
      <c r="C10" t="s">
        <v>1072</v>
      </c>
      <c r="D10">
        <v>80</v>
      </c>
      <c r="E10" t="b">
        <v>1</v>
      </c>
      <c r="F10" t="b">
        <v>1</v>
      </c>
      <c r="G10" t="s">
        <v>93</v>
      </c>
      <c r="H10" t="s">
        <v>1073</v>
      </c>
      <c r="I10" t="s">
        <v>1074</v>
      </c>
      <c r="J10" t="s">
        <v>1066</v>
      </c>
      <c r="K10" t="s">
        <v>1075</v>
      </c>
      <c r="L10" t="s">
        <v>1075</v>
      </c>
      <c r="M10" t="s">
        <v>1069</v>
      </c>
      <c r="N10" t="s">
        <v>1076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1077</v>
      </c>
      <c r="D11">
        <v>100</v>
      </c>
      <c r="E11" t="b">
        <v>0</v>
      </c>
      <c r="F11" t="b">
        <v>1</v>
      </c>
      <c r="G11" t="s">
        <v>93</v>
      </c>
      <c r="H11" t="s">
        <v>1078</v>
      </c>
      <c r="I11" t="s">
        <v>1079</v>
      </c>
      <c r="J11" t="s">
        <v>1066</v>
      </c>
      <c r="K11" t="s">
        <v>1080</v>
      </c>
      <c r="L11" t="s">
        <v>1081</v>
      </c>
      <c r="M11" t="s">
        <v>1069</v>
      </c>
      <c r="N11" t="s">
        <v>1076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1082</v>
      </c>
      <c r="D12">
        <v>120</v>
      </c>
      <c r="E12" t="b">
        <v>0</v>
      </c>
      <c r="F12" t="b">
        <v>0</v>
      </c>
      <c r="H12" t="s">
        <v>1083</v>
      </c>
      <c r="I12" t="s">
        <v>1084</v>
      </c>
      <c r="J12" t="s">
        <v>1066</v>
      </c>
      <c r="K12" t="s">
        <v>1085</v>
      </c>
      <c r="L12" t="s">
        <v>1085</v>
      </c>
      <c r="M12" t="s">
        <v>1069</v>
      </c>
      <c r="N12" t="s">
        <v>1070</v>
      </c>
      <c r="O12">
        <v>0</v>
      </c>
      <c r="P12">
        <v>0</v>
      </c>
      <c r="Q12">
        <v>0</v>
      </c>
      <c r="U12" t="s">
        <v>1071</v>
      </c>
    </row>
    <row r="13" customFormat="1" spans="1:21">
      <c r="B13">
        <v>1009</v>
      </c>
      <c r="C13" t="s">
        <v>1063</v>
      </c>
      <c r="D13">
        <v>60</v>
      </c>
      <c r="E13" t="b">
        <v>0</v>
      </c>
      <c r="F13" t="b">
        <v>1</v>
      </c>
      <c r="G13" t="s">
        <v>93</v>
      </c>
      <c r="H13" t="s">
        <v>1064</v>
      </c>
      <c r="I13" t="s">
        <v>1065</v>
      </c>
      <c r="J13" t="s">
        <v>1066</v>
      </c>
      <c r="K13" t="s">
        <v>1067</v>
      </c>
      <c r="L13" t="s">
        <v>1068</v>
      </c>
      <c r="M13" t="s">
        <v>1069</v>
      </c>
      <c r="N13" t="s">
        <v>1070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1082</v>
      </c>
      <c r="D14">
        <v>120</v>
      </c>
      <c r="E14" t="b">
        <v>0</v>
      </c>
      <c r="F14" t="b">
        <v>0</v>
      </c>
      <c r="H14" t="s">
        <v>1083</v>
      </c>
      <c r="I14" t="s">
        <v>1084</v>
      </c>
      <c r="J14" t="s">
        <v>1066</v>
      </c>
      <c r="K14" t="s">
        <v>1085</v>
      </c>
      <c r="L14" t="s">
        <v>1085</v>
      </c>
      <c r="M14" t="s">
        <v>1069</v>
      </c>
      <c r="N14" t="s">
        <v>1070</v>
      </c>
      <c r="O14">
        <v>0</v>
      </c>
      <c r="P14">
        <v>0</v>
      </c>
      <c r="Q14">
        <v>0</v>
      </c>
      <c r="U14" t="s">
        <v>1071</v>
      </c>
    </row>
    <row r="15" customFormat="1" spans="1:21">
      <c r="B15">
        <v>1011</v>
      </c>
      <c r="C15" t="s">
        <v>1082</v>
      </c>
      <c r="D15">
        <v>120</v>
      </c>
      <c r="E15" t="b">
        <v>0</v>
      </c>
      <c r="F15" t="b">
        <v>1</v>
      </c>
      <c r="G15" t="s">
        <v>93</v>
      </c>
      <c r="H15" t="s">
        <v>1083</v>
      </c>
      <c r="I15" t="s">
        <v>1084</v>
      </c>
      <c r="J15" t="s">
        <v>1066</v>
      </c>
      <c r="K15" t="s">
        <v>1085</v>
      </c>
      <c r="L15" t="s">
        <v>1085</v>
      </c>
      <c r="M15" t="s">
        <v>1069</v>
      </c>
      <c r="N15" t="s">
        <v>1070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1086</v>
      </c>
      <c r="D16">
        <v>2000</v>
      </c>
      <c r="E16" t="b">
        <v>0</v>
      </c>
      <c r="F16" t="b">
        <v>1</v>
      </c>
      <c r="G16" t="s">
        <v>836</v>
      </c>
      <c r="H16" t="s">
        <v>1087</v>
      </c>
      <c r="I16" t="s">
        <v>1088</v>
      </c>
      <c r="J16" t="s">
        <v>1066</v>
      </c>
      <c r="K16" t="s">
        <v>1085</v>
      </c>
      <c r="L16" t="s">
        <v>1085</v>
      </c>
      <c r="M16" t="s">
        <v>1069</v>
      </c>
      <c r="N16" t="s">
        <v>1070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1089</v>
      </c>
      <c r="D17">
        <v>2000</v>
      </c>
      <c r="E17" t="b">
        <v>0</v>
      </c>
      <c r="F17" t="b">
        <v>1</v>
      </c>
      <c r="G17" t="s">
        <v>836</v>
      </c>
      <c r="H17" t="s">
        <v>1087</v>
      </c>
      <c r="I17" t="s">
        <v>1088</v>
      </c>
      <c r="J17" t="s">
        <v>1066</v>
      </c>
      <c r="K17" t="s">
        <v>1085</v>
      </c>
      <c r="L17" t="s">
        <v>1085</v>
      </c>
      <c r="M17" t="s">
        <v>1069</v>
      </c>
      <c r="N17" t="s">
        <v>1070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1090</v>
      </c>
      <c r="D18">
        <v>2000</v>
      </c>
      <c r="E18" t="b">
        <v>0</v>
      </c>
      <c r="F18" t="b">
        <v>1</v>
      </c>
      <c r="G18" t="s">
        <v>836</v>
      </c>
      <c r="H18" t="s">
        <v>1087</v>
      </c>
      <c r="I18" t="s">
        <v>1088</v>
      </c>
      <c r="J18" t="s">
        <v>1066</v>
      </c>
      <c r="K18" t="s">
        <v>1085</v>
      </c>
      <c r="L18" t="s">
        <v>1085</v>
      </c>
      <c r="M18" t="s">
        <v>1069</v>
      </c>
      <c r="N18" t="s">
        <v>1070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1091</v>
      </c>
      <c r="D19">
        <v>2000</v>
      </c>
      <c r="E19" t="b">
        <v>0</v>
      </c>
      <c r="F19" t="b">
        <v>1</v>
      </c>
      <c r="G19" t="s">
        <v>836</v>
      </c>
      <c r="H19" t="s">
        <v>1087</v>
      </c>
      <c r="I19" t="s">
        <v>1088</v>
      </c>
      <c r="J19" t="s">
        <v>1066</v>
      </c>
      <c r="K19" t="s">
        <v>1085</v>
      </c>
      <c r="L19" t="s">
        <v>1085</v>
      </c>
      <c r="M19" t="s">
        <v>1069</v>
      </c>
      <c r="N19" t="s">
        <v>1070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1063</v>
      </c>
      <c r="D20">
        <v>30</v>
      </c>
      <c r="E20" t="b">
        <v>0</v>
      </c>
      <c r="F20" t="b">
        <v>1</v>
      </c>
      <c r="G20" t="s">
        <v>832</v>
      </c>
      <c r="H20" t="s">
        <v>1064</v>
      </c>
      <c r="I20" t="s">
        <v>1065</v>
      </c>
      <c r="J20" t="s">
        <v>1066</v>
      </c>
      <c r="K20" t="s">
        <v>1067</v>
      </c>
      <c r="L20" t="s">
        <v>1068</v>
      </c>
      <c r="M20" t="s">
        <v>1069</v>
      </c>
      <c r="N20" t="s">
        <v>1070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1072</v>
      </c>
      <c r="D21">
        <v>10</v>
      </c>
      <c r="E21" t="b">
        <v>1</v>
      </c>
      <c r="F21" t="b">
        <v>1</v>
      </c>
      <c r="G21" t="s">
        <v>832</v>
      </c>
      <c r="H21" t="s">
        <v>1073</v>
      </c>
      <c r="I21" t="s">
        <v>1074</v>
      </c>
      <c r="J21" t="s">
        <v>1066</v>
      </c>
      <c r="K21" t="s">
        <v>1092</v>
      </c>
      <c r="L21" t="s">
        <v>1075</v>
      </c>
      <c r="M21" t="s">
        <v>1069</v>
      </c>
      <c r="N21" t="s">
        <v>1070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1077</v>
      </c>
      <c r="D22">
        <v>20</v>
      </c>
      <c r="E22" t="b">
        <v>0</v>
      </c>
      <c r="F22" t="b">
        <v>1</v>
      </c>
      <c r="G22" t="s">
        <v>832</v>
      </c>
      <c r="H22" t="s">
        <v>1078</v>
      </c>
      <c r="I22" t="s">
        <v>1079</v>
      </c>
      <c r="J22" t="s">
        <v>1066</v>
      </c>
      <c r="K22" t="s">
        <v>1093</v>
      </c>
      <c r="L22" t="s">
        <v>1081</v>
      </c>
      <c r="M22" t="s">
        <v>1069</v>
      </c>
      <c r="N22" t="s">
        <v>1070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1082</v>
      </c>
      <c r="D23">
        <v>40</v>
      </c>
      <c r="E23" t="b">
        <v>0</v>
      </c>
      <c r="F23" t="b">
        <v>1</v>
      </c>
      <c r="G23" t="s">
        <v>832</v>
      </c>
      <c r="H23" t="s">
        <v>1083</v>
      </c>
      <c r="I23" t="s">
        <v>1084</v>
      </c>
      <c r="J23" t="s">
        <v>1066</v>
      </c>
      <c r="K23" t="s">
        <v>1085</v>
      </c>
      <c r="L23" t="s">
        <v>1085</v>
      </c>
      <c r="M23" t="s">
        <v>1069</v>
      </c>
      <c r="N23" t="s">
        <v>1070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1009</v>
      </c>
      <c r="E1" t="s">
        <v>1094</v>
      </c>
      <c r="F1" t="s">
        <v>2</v>
      </c>
      <c r="G1" t="s">
        <v>1095</v>
      </c>
      <c r="H1" t="s">
        <v>1096</v>
      </c>
      <c r="I1" t="s">
        <v>1097</v>
      </c>
      <c r="J1" t="s">
        <v>1098</v>
      </c>
      <c r="K1" t="s">
        <v>1099</v>
      </c>
      <c r="L1" t="s">
        <v>1100</v>
      </c>
      <c r="M1" t="s">
        <v>1101</v>
      </c>
      <c r="N1" t="s">
        <v>1102</v>
      </c>
      <c r="O1" t="s">
        <v>1103</v>
      </c>
      <c r="P1" t="s">
        <v>795</v>
      </c>
      <c r="Q1" t="s">
        <v>1104</v>
      </c>
      <c r="R1" t="s">
        <v>1105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1106</v>
      </c>
      <c r="C3" s="2" t="s">
        <v>1107</v>
      </c>
      <c r="E3" s="2" t="s">
        <v>1108</v>
      </c>
      <c r="F3" s="14" t="s">
        <v>1109</v>
      </c>
      <c r="G3" s="2" t="s">
        <v>49</v>
      </c>
      <c r="H3" s="15" t="s">
        <v>1110</v>
      </c>
      <c r="I3" s="2" t="s">
        <v>1111</v>
      </c>
      <c r="J3" s="2" t="s">
        <v>1112</v>
      </c>
      <c r="K3" s="2" t="s">
        <v>1113</v>
      </c>
      <c r="L3" s="2" t="s">
        <v>1114</v>
      </c>
      <c r="M3" s="2" t="s">
        <v>1115</v>
      </c>
      <c r="N3" s="2" t="s">
        <v>1116</v>
      </c>
      <c r="O3" s="2" t="s">
        <v>1117</v>
      </c>
      <c r="P3" s="2" t="s">
        <v>1118</v>
      </c>
      <c r="Q3" s="2" t="s">
        <v>1119</v>
      </c>
      <c r="R3" s="2" t="s">
        <v>1120</v>
      </c>
    </row>
    <row r="4" spans="1:18">
      <c r="A4" t="s">
        <v>39</v>
      </c>
      <c r="B4" t="s">
        <v>1121</v>
      </c>
      <c r="C4" t="s">
        <v>1046</v>
      </c>
      <c r="D4" t="s">
        <v>1122</v>
      </c>
      <c r="E4" t="s">
        <v>1123</v>
      </c>
      <c r="F4" t="s">
        <v>1124</v>
      </c>
      <c r="G4" t="s">
        <v>72</v>
      </c>
      <c r="H4" t="s">
        <v>1125</v>
      </c>
      <c r="I4" t="s">
        <v>1126</v>
      </c>
      <c r="J4" t="s">
        <v>74</v>
      </c>
      <c r="K4" t="s">
        <v>1127</v>
      </c>
      <c r="L4" t="s">
        <v>1128</v>
      </c>
      <c r="M4" t="s">
        <v>1129</v>
      </c>
      <c r="N4" t="s">
        <v>76</v>
      </c>
      <c r="O4" t="s">
        <v>1130</v>
      </c>
      <c r="P4" t="s">
        <v>1049</v>
      </c>
      <c r="Q4" t="s">
        <v>1131</v>
      </c>
      <c r="R4" t="s">
        <v>1132</v>
      </c>
    </row>
    <row r="5" spans="1:18">
      <c r="A5" t="s">
        <v>209</v>
      </c>
      <c r="B5">
        <v>401001</v>
      </c>
      <c r="C5" t="s">
        <v>1133</v>
      </c>
      <c r="D5" t="s">
        <v>1134</v>
      </c>
      <c r="E5" t="s">
        <v>90</v>
      </c>
      <c r="F5" t="s">
        <v>1135</v>
      </c>
      <c r="G5" t="s">
        <v>1136</v>
      </c>
      <c r="H5" t="s">
        <v>1137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1138</v>
      </c>
      <c r="D6" t="s">
        <v>1139</v>
      </c>
      <c r="E6" t="s">
        <v>90</v>
      </c>
      <c r="F6" t="s">
        <v>1140</v>
      </c>
      <c r="G6" t="s">
        <v>1141</v>
      </c>
      <c r="H6" t="s">
        <v>1137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1142</v>
      </c>
      <c r="D7" t="s">
        <v>1143</v>
      </c>
      <c r="E7" t="s">
        <v>90</v>
      </c>
      <c r="F7" t="s">
        <v>1144</v>
      </c>
      <c r="G7" t="s">
        <v>1145</v>
      </c>
      <c r="H7" t="s">
        <v>1137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1146</v>
      </c>
      <c r="D8" t="s">
        <v>1147</v>
      </c>
      <c r="E8" t="s">
        <v>90</v>
      </c>
      <c r="F8" t="s">
        <v>1148</v>
      </c>
      <c r="G8" t="s">
        <v>1149</v>
      </c>
      <c r="H8" t="s">
        <v>1137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1150</v>
      </c>
      <c r="D9" t="s">
        <v>1151</v>
      </c>
      <c r="E9" t="s">
        <v>90</v>
      </c>
      <c r="F9" t="s">
        <v>1135</v>
      </c>
      <c r="G9" t="s">
        <v>1136</v>
      </c>
      <c r="H9" t="s">
        <v>1137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1152</v>
      </c>
      <c r="D10" t="s">
        <v>1153</v>
      </c>
      <c r="E10" t="s">
        <v>90</v>
      </c>
      <c r="F10" t="s">
        <v>1140</v>
      </c>
      <c r="G10" t="s">
        <v>1141</v>
      </c>
      <c r="H10" t="s">
        <v>1137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1154</v>
      </c>
      <c r="D11" t="s">
        <v>1155</v>
      </c>
      <c r="E11" t="s">
        <v>90</v>
      </c>
      <c r="F11" t="s">
        <v>1144</v>
      </c>
      <c r="G11" t="s">
        <v>1145</v>
      </c>
      <c r="H11" t="s">
        <v>1137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1156</v>
      </c>
      <c r="D12" t="s">
        <v>1157</v>
      </c>
      <c r="E12" t="s">
        <v>90</v>
      </c>
      <c r="F12" t="s">
        <v>1148</v>
      </c>
      <c r="G12" t="s">
        <v>1149</v>
      </c>
      <c r="H12" t="s">
        <v>1137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1158</v>
      </c>
      <c r="D13" t="s">
        <v>1159</v>
      </c>
      <c r="E13" t="s">
        <v>90</v>
      </c>
      <c r="F13" t="s">
        <v>1160</v>
      </c>
      <c r="G13" t="s">
        <v>1161</v>
      </c>
      <c r="H13" t="s">
        <v>1137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1162</v>
      </c>
      <c r="D14" t="s">
        <v>1163</v>
      </c>
      <c r="E14" t="s">
        <v>90</v>
      </c>
      <c r="F14" t="s">
        <v>1164</v>
      </c>
      <c r="G14" t="s">
        <v>1165</v>
      </c>
      <c r="H14" t="s">
        <v>1137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1166</v>
      </c>
      <c r="D15" t="s">
        <v>1167</v>
      </c>
      <c r="E15" t="s">
        <v>90</v>
      </c>
      <c r="F15" t="s">
        <v>1168</v>
      </c>
      <c r="G15" t="s">
        <v>1169</v>
      </c>
      <c r="H15" t="s">
        <v>1137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1170</v>
      </c>
      <c r="D16" t="s">
        <v>1171</v>
      </c>
      <c r="E16" t="s">
        <v>90</v>
      </c>
      <c r="F16" t="s">
        <v>1172</v>
      </c>
      <c r="G16" t="s">
        <v>1173</v>
      </c>
      <c r="H16" t="s">
        <v>1137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1174</v>
      </c>
      <c r="D17" t="s">
        <v>1175</v>
      </c>
      <c r="E17" t="s">
        <v>1103</v>
      </c>
      <c r="F17" t="s">
        <v>1176</v>
      </c>
      <c r="G17" t="s">
        <v>1177</v>
      </c>
      <c r="H17" t="s">
        <v>1137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1178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1179</v>
      </c>
      <c r="D18" t="s">
        <v>1175</v>
      </c>
      <c r="E18" t="s">
        <v>1103</v>
      </c>
      <c r="F18" t="s">
        <v>1180</v>
      </c>
      <c r="G18" t="s">
        <v>1181</v>
      </c>
      <c r="H18" t="s">
        <v>1137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1182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1183</v>
      </c>
      <c r="D19" t="s">
        <v>1175</v>
      </c>
      <c r="E19" t="s">
        <v>1103</v>
      </c>
      <c r="F19" t="s">
        <v>1184</v>
      </c>
      <c r="G19" t="s">
        <v>1185</v>
      </c>
      <c r="H19" t="s">
        <v>1137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1186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1187</v>
      </c>
      <c r="D20" t="s">
        <v>1175</v>
      </c>
      <c r="E20" t="s">
        <v>1103</v>
      </c>
      <c r="F20" t="s">
        <v>1188</v>
      </c>
      <c r="G20" t="s">
        <v>1189</v>
      </c>
      <c r="H20" t="s">
        <v>1137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1190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1191</v>
      </c>
    </row>
    <row r="22" spans="1:18">
      <c r="A22" t="s">
        <v>209</v>
      </c>
      <c r="B22">
        <v>402001</v>
      </c>
      <c r="C22" t="s">
        <v>1192</v>
      </c>
      <c r="D22" t="s">
        <v>1193</v>
      </c>
      <c r="E22" t="s">
        <v>90</v>
      </c>
      <c r="F22" t="s">
        <v>1194</v>
      </c>
      <c r="G22" t="s">
        <v>1195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1196</v>
      </c>
      <c r="D23" t="s">
        <v>1197</v>
      </c>
      <c r="E23" t="s">
        <v>90</v>
      </c>
      <c r="F23" t="s">
        <v>1198</v>
      </c>
      <c r="G23" t="s">
        <v>1199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1200</v>
      </c>
      <c r="D24" t="s">
        <v>1201</v>
      </c>
      <c r="E24" t="s">
        <v>90</v>
      </c>
      <c r="F24" t="s">
        <v>1202</v>
      </c>
      <c r="G24" t="s">
        <v>1203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1204</v>
      </c>
    </row>
    <row r="26" spans="1:18">
      <c r="A26" t="s">
        <v>209</v>
      </c>
      <c r="B26">
        <v>403001</v>
      </c>
      <c r="C26" t="s">
        <v>1205</v>
      </c>
      <c r="D26" t="s">
        <v>1206</v>
      </c>
      <c r="E26" t="s">
        <v>1207</v>
      </c>
      <c r="F26" t="s">
        <v>1208</v>
      </c>
      <c r="G26" t="s">
        <v>1209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1210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1211</v>
      </c>
      <c r="D27" t="s">
        <v>1212</v>
      </c>
      <c r="E27" t="s">
        <v>1207</v>
      </c>
      <c r="F27" t="s">
        <v>1213</v>
      </c>
      <c r="G27" t="s">
        <v>1214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1215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1216</v>
      </c>
      <c r="D28" t="s">
        <v>1217</v>
      </c>
      <c r="E28" t="s">
        <v>1207</v>
      </c>
      <c r="F28" t="s">
        <v>1218</v>
      </c>
      <c r="G28" t="s">
        <v>1219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1215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1220</v>
      </c>
    </row>
    <row r="30" spans="1:18">
      <c r="B30">
        <v>404001</v>
      </c>
      <c r="C30" t="s">
        <v>1221</v>
      </c>
      <c r="D30" t="s">
        <v>1222</v>
      </c>
      <c r="E30" t="s">
        <v>775</v>
      </c>
      <c r="F30" t="s">
        <v>1223</v>
      </c>
      <c r="G30" t="s">
        <v>1224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1225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1226</v>
      </c>
      <c r="D31" t="s">
        <v>1227</v>
      </c>
      <c r="E31" t="s">
        <v>775</v>
      </c>
      <c r="F31" t="s">
        <v>1228</v>
      </c>
      <c r="G31" t="s">
        <v>1229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1230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1231</v>
      </c>
      <c r="D32" t="s">
        <v>1232</v>
      </c>
      <c r="E32" t="s">
        <v>775</v>
      </c>
      <c r="F32" t="s">
        <v>1233</v>
      </c>
      <c r="G32" t="s">
        <v>1234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1235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1236</v>
      </c>
      <c r="D33" t="s">
        <v>1237</v>
      </c>
      <c r="E33" t="s">
        <v>775</v>
      </c>
      <c r="F33" t="s">
        <v>1238</v>
      </c>
      <c r="G33" t="s">
        <v>1239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1230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1240</v>
      </c>
      <c r="D34" t="s">
        <v>1241</v>
      </c>
      <c r="E34" t="s">
        <v>775</v>
      </c>
      <c r="F34" t="s">
        <v>1242</v>
      </c>
      <c r="G34" t="s">
        <v>1243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1235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1244</v>
      </c>
      <c r="D35" t="s">
        <v>1245</v>
      </c>
      <c r="E35" t="s">
        <v>775</v>
      </c>
      <c r="F35" t="s">
        <v>1246</v>
      </c>
      <c r="G35" t="s">
        <v>1247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1230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1248</v>
      </c>
      <c r="D36" t="s">
        <v>1249</v>
      </c>
      <c r="E36" t="s">
        <v>775</v>
      </c>
      <c r="F36" t="s">
        <v>1250</v>
      </c>
      <c r="G36" t="s">
        <v>1251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1235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1252</v>
      </c>
      <c r="D37" t="s">
        <v>1253</v>
      </c>
      <c r="E37" t="s">
        <v>775</v>
      </c>
      <c r="F37" t="s">
        <v>1254</v>
      </c>
      <c r="G37" t="s">
        <v>1255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1230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1256</v>
      </c>
      <c r="D38" t="s">
        <v>1257</v>
      </c>
      <c r="E38" t="s">
        <v>775</v>
      </c>
      <c r="F38" t="s">
        <v>1258</v>
      </c>
      <c r="G38" t="s">
        <v>1259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1235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1260</v>
      </c>
    </row>
    <row r="40" spans="1:18">
      <c r="B40">
        <v>405001</v>
      </c>
      <c r="C40" t="s">
        <v>1261</v>
      </c>
      <c r="D40" t="s">
        <v>1262</v>
      </c>
      <c r="E40" t="s">
        <v>775</v>
      </c>
      <c r="F40" t="s">
        <v>1263</v>
      </c>
      <c r="G40" t="s">
        <v>1264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1235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1265</v>
      </c>
    </row>
    <row r="42" spans="1:18">
      <c r="B42">
        <v>406005</v>
      </c>
      <c r="C42" t="s">
        <v>1266</v>
      </c>
      <c r="D42" t="s">
        <v>1267</v>
      </c>
      <c r="E42" t="s">
        <v>1103</v>
      </c>
      <c r="F42" t="s">
        <v>1268</v>
      </c>
      <c r="G42" t="s">
        <v>1269</v>
      </c>
      <c r="H42" t="s">
        <v>1137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1270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1271</v>
      </c>
      <c r="D43" t="s">
        <v>1272</v>
      </c>
      <c r="E43" t="s">
        <v>1103</v>
      </c>
      <c r="F43" t="s">
        <v>1273</v>
      </c>
      <c r="G43" t="s">
        <v>1274</v>
      </c>
      <c r="H43" t="s">
        <v>1137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1275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1276</v>
      </c>
      <c r="D44" t="s">
        <v>1277</v>
      </c>
      <c r="E44" t="s">
        <v>1103</v>
      </c>
      <c r="F44" t="s">
        <v>1278</v>
      </c>
      <c r="G44" t="s">
        <v>1279</v>
      </c>
      <c r="H44" t="s">
        <v>1137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1280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1281</v>
      </c>
      <c r="D45" t="s">
        <v>1175</v>
      </c>
      <c r="E45" t="s">
        <v>1103</v>
      </c>
      <c r="F45" t="s">
        <v>1282</v>
      </c>
      <c r="G45" t="s">
        <v>1283</v>
      </c>
      <c r="H45" t="s">
        <v>1137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1284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1285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1286</v>
      </c>
      <c r="D48" t="s">
        <v>1197</v>
      </c>
      <c r="E48" t="s">
        <v>90</v>
      </c>
      <c r="F48" t="s">
        <v>1198</v>
      </c>
      <c r="G48" t="s">
        <v>1199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1287</v>
      </c>
      <c r="D49" t="s">
        <v>1201</v>
      </c>
      <c r="E49" t="s">
        <v>90</v>
      </c>
      <c r="F49" t="s">
        <v>1202</v>
      </c>
      <c r="G49" t="s">
        <v>1203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1288</v>
      </c>
      <c r="D50" t="s">
        <v>1193</v>
      </c>
      <c r="E50" t="s">
        <v>90</v>
      </c>
      <c r="F50" t="s">
        <v>1194</v>
      </c>
      <c r="G50" t="s">
        <v>1195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1289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1290</v>
      </c>
      <c r="D52" t="s">
        <v>1212</v>
      </c>
      <c r="E52" t="s">
        <v>1207</v>
      </c>
      <c r="F52" t="s">
        <v>1213</v>
      </c>
      <c r="G52" t="s">
        <v>1214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1215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1291</v>
      </c>
      <c r="D53" t="s">
        <v>1217</v>
      </c>
      <c r="E53" t="s">
        <v>1207</v>
      </c>
      <c r="F53" t="s">
        <v>1218</v>
      </c>
      <c r="G53" t="s">
        <v>1219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1215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1292</v>
      </c>
    </row>
    <row r="55" spans="1:18">
      <c r="B55">
        <v>500005</v>
      </c>
      <c r="C55" t="s">
        <v>1293</v>
      </c>
      <c r="D55" t="s">
        <v>1294</v>
      </c>
      <c r="E55" t="s">
        <v>90</v>
      </c>
      <c r="F55" t="s">
        <v>1295</v>
      </c>
      <c r="G55" t="s">
        <v>1296</v>
      </c>
      <c r="H55" t="s">
        <v>1137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1297</v>
      </c>
      <c r="D56" t="s">
        <v>1298</v>
      </c>
      <c r="E56" t="s">
        <v>90</v>
      </c>
      <c r="F56" t="s">
        <v>1299</v>
      </c>
      <c r="G56" t="s">
        <v>1300</v>
      </c>
      <c r="H56" t="s">
        <v>1137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1301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1302</v>
      </c>
      <c r="D58" t="s">
        <v>1303</v>
      </c>
      <c r="E58" t="s">
        <v>90</v>
      </c>
      <c r="F58" t="s">
        <v>1135</v>
      </c>
      <c r="G58" t="s">
        <v>1136</v>
      </c>
      <c r="H58" t="s">
        <v>1137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1304</v>
      </c>
      <c r="D59" t="s">
        <v>1305</v>
      </c>
      <c r="E59" t="s">
        <v>90</v>
      </c>
      <c r="F59" t="s">
        <v>1140</v>
      </c>
      <c r="G59" t="s">
        <v>1141</v>
      </c>
      <c r="H59" t="s">
        <v>1137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1306</v>
      </c>
      <c r="D60" t="s">
        <v>1307</v>
      </c>
      <c r="E60" t="s">
        <v>90</v>
      </c>
      <c r="F60" t="s">
        <v>1144</v>
      </c>
      <c r="G60" t="s">
        <v>1145</v>
      </c>
      <c r="H60" t="s">
        <v>1137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1308</v>
      </c>
      <c r="D61" t="s">
        <v>1309</v>
      </c>
      <c r="E61" t="s">
        <v>90</v>
      </c>
      <c r="F61" t="s">
        <v>1148</v>
      </c>
      <c r="G61" t="s">
        <v>1149</v>
      </c>
      <c r="H61" t="s">
        <v>1137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1310</v>
      </c>
      <c r="D62" t="s">
        <v>1303</v>
      </c>
      <c r="E62" t="s">
        <v>90</v>
      </c>
      <c r="F62" t="s">
        <v>1135</v>
      </c>
      <c r="G62" t="s">
        <v>1136</v>
      </c>
      <c r="H62" t="s">
        <v>1137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1311</v>
      </c>
      <c r="D63" t="s">
        <v>1309</v>
      </c>
      <c r="E63" t="s">
        <v>90</v>
      </c>
      <c r="F63" t="s">
        <v>1148</v>
      </c>
      <c r="G63" t="s">
        <v>1149</v>
      </c>
      <c r="H63" t="s">
        <v>1137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1312</v>
      </c>
      <c r="D64" t="s">
        <v>1309</v>
      </c>
      <c r="E64" t="s">
        <v>90</v>
      </c>
      <c r="F64" t="s">
        <v>1148</v>
      </c>
      <c r="G64" t="s">
        <v>1149</v>
      </c>
      <c r="H64" t="s">
        <v>1137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1313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1314</v>
      </c>
      <c r="D66" t="s">
        <v>1267</v>
      </c>
      <c r="E66" t="s">
        <v>1103</v>
      </c>
      <c r="F66" t="s">
        <v>1268</v>
      </c>
      <c r="G66" t="s">
        <v>1269</v>
      </c>
      <c r="H66" t="s">
        <v>1137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1315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1316</v>
      </c>
      <c r="D67" t="s">
        <v>1272</v>
      </c>
      <c r="E67" t="s">
        <v>1103</v>
      </c>
      <c r="F67" t="s">
        <v>1273</v>
      </c>
      <c r="G67" t="s">
        <v>1274</v>
      </c>
      <c r="H67" t="s">
        <v>1137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1317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1318</v>
      </c>
      <c r="D68" t="s">
        <v>1277</v>
      </c>
      <c r="E68" t="s">
        <v>1103</v>
      </c>
      <c r="F68" t="s">
        <v>1278</v>
      </c>
      <c r="G68" t="s">
        <v>1279</v>
      </c>
      <c r="H68" t="s">
        <v>1137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1319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1320</v>
      </c>
      <c r="D69" t="s">
        <v>1175</v>
      </c>
      <c r="E69" t="s">
        <v>1103</v>
      </c>
      <c r="F69" t="s">
        <v>1282</v>
      </c>
      <c r="G69" t="s">
        <v>1283</v>
      </c>
      <c r="H69" t="s">
        <v>1137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1321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1322</v>
      </c>
      <c r="D70" t="s">
        <v>1267</v>
      </c>
      <c r="E70" t="s">
        <v>1103</v>
      </c>
      <c r="F70" t="s">
        <v>1268</v>
      </c>
      <c r="G70" t="s">
        <v>1269</v>
      </c>
      <c r="H70" t="s">
        <v>1137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1323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1324</v>
      </c>
      <c r="D71" t="s">
        <v>1175</v>
      </c>
      <c r="E71" t="s">
        <v>1103</v>
      </c>
      <c r="F71" t="s">
        <v>1282</v>
      </c>
      <c r="G71" t="s">
        <v>1283</v>
      </c>
      <c r="H71" t="s">
        <v>1137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1325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1326</v>
      </c>
      <c r="D72" t="s">
        <v>1175</v>
      </c>
      <c r="E72" t="s">
        <v>1103</v>
      </c>
      <c r="F72" t="s">
        <v>1282</v>
      </c>
      <c r="G72" t="s">
        <v>1283</v>
      </c>
      <c r="H72" t="s">
        <v>1137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1327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1328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1329</v>
      </c>
      <c r="D74" t="s">
        <v>1330</v>
      </c>
      <c r="E74" t="s">
        <v>775</v>
      </c>
      <c r="F74" t="s">
        <v>1331</v>
      </c>
      <c r="G74" t="s">
        <v>1332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1333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1334</v>
      </c>
      <c r="D75" t="s">
        <v>1335</v>
      </c>
      <c r="E75" t="s">
        <v>775</v>
      </c>
      <c r="F75" t="s">
        <v>1336</v>
      </c>
      <c r="G75" t="s">
        <v>1337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1338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1339</v>
      </c>
      <c r="D76" t="s">
        <v>1340</v>
      </c>
      <c r="E76" t="s">
        <v>775</v>
      </c>
      <c r="F76" t="s">
        <v>1341</v>
      </c>
      <c r="G76" t="s">
        <v>1342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1343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1344</v>
      </c>
      <c r="D77" t="s">
        <v>1345</v>
      </c>
      <c r="E77" t="s">
        <v>775</v>
      </c>
      <c r="F77" t="s">
        <v>1346</v>
      </c>
      <c r="G77" t="s">
        <v>1347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1338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1348</v>
      </c>
      <c r="D78" t="s">
        <v>1349</v>
      </c>
      <c r="E78" t="s">
        <v>775</v>
      </c>
      <c r="F78" t="s">
        <v>1350</v>
      </c>
      <c r="G78" t="s">
        <v>1351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1343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1352</v>
      </c>
      <c r="D79" t="s">
        <v>1353</v>
      </c>
      <c r="E79" t="s">
        <v>775</v>
      </c>
      <c r="F79" t="s">
        <v>1354</v>
      </c>
      <c r="G79" t="s">
        <v>1355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1338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1356</v>
      </c>
      <c r="D80" t="s">
        <v>1357</v>
      </c>
      <c r="E80" t="s">
        <v>775</v>
      </c>
      <c r="F80" t="s">
        <v>1358</v>
      </c>
      <c r="G80" t="s">
        <v>1359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1343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1360</v>
      </c>
      <c r="D81" t="s">
        <v>1361</v>
      </c>
      <c r="E81" t="s">
        <v>775</v>
      </c>
      <c r="F81" t="s">
        <v>1362</v>
      </c>
      <c r="G81" t="s">
        <v>1363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1338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1364</v>
      </c>
    </row>
    <row r="83" spans="1:18">
      <c r="B83">
        <v>700101</v>
      </c>
      <c r="C83" t="s">
        <v>1365</v>
      </c>
      <c r="D83" t="s">
        <v>1366</v>
      </c>
      <c r="E83" t="s">
        <v>775</v>
      </c>
      <c r="F83" t="s">
        <v>1367</v>
      </c>
      <c r="G83" t="s">
        <v>1368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1369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1370</v>
      </c>
      <c r="D84" t="s">
        <v>1371</v>
      </c>
      <c r="E84" t="s">
        <v>775</v>
      </c>
      <c r="F84" t="s">
        <v>1372</v>
      </c>
      <c r="G84" t="s">
        <v>1373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1374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1375</v>
      </c>
      <c r="D85" t="s">
        <v>1376</v>
      </c>
      <c r="E85" t="s">
        <v>775</v>
      </c>
      <c r="F85" t="s">
        <v>1377</v>
      </c>
      <c r="G85" t="s">
        <v>1378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1369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1379</v>
      </c>
      <c r="D86" t="s">
        <v>1380</v>
      </c>
      <c r="E86" t="s">
        <v>775</v>
      </c>
      <c r="F86" t="s">
        <v>1381</v>
      </c>
      <c r="G86" t="s">
        <v>1382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1374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1383</v>
      </c>
      <c r="D87" t="s">
        <v>1384</v>
      </c>
      <c r="E87" t="s">
        <v>775</v>
      </c>
      <c r="F87" t="s">
        <v>1385</v>
      </c>
      <c r="G87" t="s">
        <v>1386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1369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1387</v>
      </c>
      <c r="D88" t="s">
        <v>1388</v>
      </c>
      <c r="E88" t="s">
        <v>775</v>
      </c>
      <c r="F88" t="s">
        <v>1389</v>
      </c>
      <c r="G88" t="s">
        <v>1390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1374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1391</v>
      </c>
      <c r="D89" t="s">
        <v>1392</v>
      </c>
      <c r="E89" t="s">
        <v>775</v>
      </c>
      <c r="F89" t="s">
        <v>1393</v>
      </c>
      <c r="G89" t="s">
        <v>1394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1369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1395</v>
      </c>
      <c r="D90" t="s">
        <v>1396</v>
      </c>
      <c r="E90" t="s">
        <v>775</v>
      </c>
      <c r="F90" t="s">
        <v>1397</v>
      </c>
      <c r="G90" t="s">
        <v>1398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1374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1399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1400</v>
      </c>
      <c r="D92" t="s">
        <v>1401</v>
      </c>
      <c r="E92" t="s">
        <v>775</v>
      </c>
      <c r="F92" t="s">
        <v>1402</v>
      </c>
      <c r="G92" t="s">
        <v>1264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1343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1403</v>
      </c>
    </row>
    <row r="94" spans="1:18">
      <c r="B94">
        <v>701101</v>
      </c>
      <c r="C94" t="s">
        <v>1404</v>
      </c>
      <c r="D94" t="s">
        <v>1405</v>
      </c>
      <c r="E94" t="s">
        <v>775</v>
      </c>
      <c r="F94" t="s">
        <v>1406</v>
      </c>
      <c r="G94" t="s">
        <v>1407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1369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6ee9f4dc-ba67-4172-8e97-6325004788a8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b3dcd9fa-6fee-47c7-9e06-f09e5e3062bc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9a321f8-4698-4d0e-8a76-f87582882ee1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12f0b3e4-5ff1-4dab-9c15-8ad159cfaa26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a896f263-bf0d-413e-a73a-485ba4bfeb1c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94200d09-c3a4-486c-aa25-c2d2ce84ca4c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b82c3310-e43e-4007-b15b-a018446d634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9da26838-e4ce-46eb-9127-e0cf7ae6dae6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e3d1ae88-53cb-4f02-8958-fc40a1e97364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1408</v>
      </c>
      <c r="D1" t="s">
        <v>1409</v>
      </c>
      <c r="E1" s="1" t="s">
        <v>1095</v>
      </c>
      <c r="F1" s="2" t="s">
        <v>1410</v>
      </c>
      <c r="G1" t="s">
        <v>1411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1412</v>
      </c>
      <c r="D4" s="5" t="s">
        <v>1413</v>
      </c>
      <c r="E4" s="6" t="s">
        <v>1414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1415</v>
      </c>
      <c r="F5" s="2" t="s">
        <v>751</v>
      </c>
      <c r="G5" s="5" t="s">
        <v>1416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1417</v>
      </c>
      <c r="F6" s="2" t="s">
        <v>1418</v>
      </c>
      <c r="G6" t="s">
        <v>1419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1420</v>
      </c>
      <c r="F7" s="11" t="s">
        <v>1421</v>
      </c>
      <c r="G7" s="12" t="s">
        <v>1422</v>
      </c>
    </row>
    <row r="8" ht="84" customHeight="1" spans="1:7">
      <c r="B8">
        <v>1003</v>
      </c>
      <c r="C8">
        <v>201000</v>
      </c>
      <c r="D8">
        <v>209999</v>
      </c>
      <c r="E8" s="1" t="s">
        <v>1423</v>
      </c>
      <c r="F8" s="2" t="s">
        <v>1424</v>
      </c>
      <c r="G8" s="5" t="s">
        <v>1425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1426</v>
      </c>
      <c r="F9" s="2" t="s">
        <v>1427</v>
      </c>
      <c r="G9" t="s">
        <v>1428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1429</v>
      </c>
      <c r="F10" s="11" t="s">
        <v>1430</v>
      </c>
      <c r="G10" s="9" t="s">
        <v>1431</v>
      </c>
    </row>
    <row r="11" ht="67" customHeight="1" spans="1:7">
      <c r="B11">
        <v>1005</v>
      </c>
      <c r="C11">
        <v>300000</v>
      </c>
      <c r="D11">
        <v>399999</v>
      </c>
      <c r="E11" s="1" t="s">
        <v>1432</v>
      </c>
      <c r="F11" s="2" t="s">
        <v>1433</v>
      </c>
      <c r="G11" t="s">
        <v>1431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1434</v>
      </c>
      <c r="F12" s="11" t="s">
        <v>1435</v>
      </c>
      <c r="G12" s="9" t="s">
        <v>1436</v>
      </c>
    </row>
    <row r="13" ht="60" customHeight="1" spans="1:7">
      <c r="B13">
        <v>1006</v>
      </c>
      <c r="C13">
        <v>301000</v>
      </c>
      <c r="D13">
        <v>301999</v>
      </c>
      <c r="E13" s="1" t="s">
        <v>1437</v>
      </c>
      <c r="F13" s="2" t="s">
        <v>1438</v>
      </c>
      <c r="G13" t="s">
        <v>1436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1439</v>
      </c>
      <c r="F14" s="2" t="s">
        <v>1440</v>
      </c>
      <c r="G14" t="s">
        <v>1441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1442</v>
      </c>
      <c r="F15" s="2" t="s">
        <v>1443</v>
      </c>
      <c r="G15" t="s">
        <v>1444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1445</v>
      </c>
      <c r="F16" s="2" t="s">
        <v>1446</v>
      </c>
      <c r="G16" t="s">
        <v>1447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1448</v>
      </c>
      <c r="F17" s="2" t="s">
        <v>1449</v>
      </c>
      <c r="G17" t="s">
        <v>1450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1451</v>
      </c>
      <c r="F18" s="2" t="s">
        <v>1452</v>
      </c>
      <c r="G18" t="s">
        <v>1453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1454</v>
      </c>
      <c r="F19" s="2" t="s">
        <v>1455</v>
      </c>
      <c r="G19" t="s">
        <v>1456</v>
      </c>
    </row>
    <row r="20" ht="52.2" spans="1:7">
      <c r="B20">
        <v>1033</v>
      </c>
      <c r="C20">
        <v>500001</v>
      </c>
      <c r="D20">
        <v>500999</v>
      </c>
      <c r="E20" s="6" t="s">
        <v>1457</v>
      </c>
      <c r="F20" s="2" t="s">
        <v>1458</v>
      </c>
      <c r="G20" t="s">
        <v>1459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1460</v>
      </c>
      <c r="F21" s="2" t="s">
        <v>1461</v>
      </c>
      <c r="G21" t="s">
        <v>1462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1463</v>
      </c>
      <c r="F22" s="2" t="s">
        <v>1464</v>
      </c>
      <c r="G22" t="s">
        <v>1465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1466</v>
      </c>
      <c r="F23" s="2" t="s">
        <v>1467</v>
      </c>
      <c r="G23" t="s">
        <v>1468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1469</v>
      </c>
      <c r="F24" s="2" t="s">
        <v>1470</v>
      </c>
      <c r="G24" t="s">
        <v>1471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1472</v>
      </c>
      <c r="F25" s="2" t="s">
        <v>1473</v>
      </c>
      <c r="G25" t="s">
        <v>1474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1475</v>
      </c>
      <c r="F26" s="2" t="s">
        <v>1476</v>
      </c>
      <c r="G26" t="s">
        <v>1477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1478</v>
      </c>
      <c r="F27" s="2" t="s">
        <v>1479</v>
      </c>
      <c r="G27" t="s">
        <v>1480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1481</v>
      </c>
      <c r="F28" s="2" t="s">
        <v>1482</v>
      </c>
      <c r="G28" t="s">
        <v>1483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1484</v>
      </c>
      <c r="F29" s="2" t="s">
        <v>1485</v>
      </c>
      <c r="G29" t="s">
        <v>1486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1487</v>
      </c>
      <c r="F30" s="2" t="s">
        <v>1488</v>
      </c>
      <c r="G30" t="s">
        <v>1489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1490</v>
      </c>
      <c r="F31" s="11" t="s">
        <v>1491</v>
      </c>
      <c r="G31" s="9" t="s">
        <v>1492</v>
      </c>
    </row>
    <row r="32" ht="52.2" spans="1:7">
      <c r="B32">
        <v>1023</v>
      </c>
      <c r="C32">
        <v>700000</v>
      </c>
      <c r="D32">
        <v>700999</v>
      </c>
      <c r="E32" s="6" t="s">
        <v>1493</v>
      </c>
      <c r="F32" s="2" t="s">
        <v>1494</v>
      </c>
      <c r="G32" t="s">
        <v>1495</v>
      </c>
    </row>
    <row r="33" ht="34.8" spans="1:7">
      <c r="B33">
        <v>1029</v>
      </c>
      <c r="C33">
        <v>700000</v>
      </c>
      <c r="D33">
        <v>700099</v>
      </c>
      <c r="E33" s="2" t="s">
        <v>1496</v>
      </c>
      <c r="F33" s="2" t="s">
        <v>1497</v>
      </c>
      <c r="G33" t="s">
        <v>1498</v>
      </c>
    </row>
    <row r="34" ht="34.8" spans="1:7">
      <c r="B34">
        <v>1030</v>
      </c>
      <c r="C34">
        <v>700100</v>
      </c>
      <c r="D34">
        <v>700999</v>
      </c>
      <c r="E34" s="2" t="s">
        <v>1499</v>
      </c>
      <c r="F34" s="2" t="s">
        <v>1500</v>
      </c>
      <c r="G34" t="s">
        <v>1501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1502</v>
      </c>
      <c r="F35" s="11" t="s">
        <v>1503</v>
      </c>
      <c r="G35" s="9" t="s">
        <v>1504</v>
      </c>
    </row>
    <row r="36" ht="71" customHeight="1" spans="1:7">
      <c r="B36">
        <v>1024</v>
      </c>
      <c r="C36">
        <v>701000</v>
      </c>
      <c r="D36">
        <v>701999</v>
      </c>
      <c r="E36" s="6" t="s">
        <v>1505</v>
      </c>
      <c r="F36" s="2" t="s">
        <v>1506</v>
      </c>
      <c r="G36" t="s">
        <v>1507</v>
      </c>
    </row>
    <row r="37" ht="71" customHeight="1" spans="1:7">
      <c r="B37">
        <v>1031</v>
      </c>
      <c r="C37">
        <v>701000</v>
      </c>
      <c r="D37">
        <v>701099</v>
      </c>
      <c r="E37" s="2" t="s">
        <v>1508</v>
      </c>
      <c r="F37" s="2" t="s">
        <v>1509</v>
      </c>
      <c r="G37" t="s">
        <v>1510</v>
      </c>
    </row>
    <row r="38" ht="71" customHeight="1" spans="1:7">
      <c r="B38">
        <v>1032</v>
      </c>
      <c r="C38">
        <v>701100</v>
      </c>
      <c r="D38">
        <v>701999</v>
      </c>
      <c r="E38" s="2" t="s">
        <v>1511</v>
      </c>
      <c r="F38" s="2" t="s">
        <v>1503</v>
      </c>
      <c r="G38" t="s">
        <v>1512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1513</v>
      </c>
      <c r="F39" s="2" t="s">
        <v>1514</v>
      </c>
      <c r="G39" t="s">
        <v>1515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1516</v>
      </c>
      <c r="F40" s="2" t="s">
        <v>1517</v>
      </c>
      <c r="G40" t="s">
        <v>1518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1519</v>
      </c>
      <c r="F41" s="2" t="s">
        <v>1520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1521</v>
      </c>
      <c r="F42" s="2" t="s">
        <v>1522</v>
      </c>
      <c r="G42" t="s">
        <v>1523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2026-09-23T16:35:34Z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