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<sst xmlns="http://schemas.openxmlformats.org/spreadsheetml/2006/main" count="4217" uniqueCount="1518">
  <si>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</si>
  <si>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</si>
  <si>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</si>
  <si>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</si>
  <si>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</si>
  <si>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</si>
  <si>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</si>
  <si>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</si>
  <si>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</si>
  <si>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</si>
  <si>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</si>
  <si>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</si>
  <si>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</si>
  <si>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</si>
  <si>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</si>
  <si>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</si>
  <si>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</si>
  <si>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</si>
  <si>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</si>
  <si>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</si>
  <si>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</si>
  <si>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</si>
  <si>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</si>
  <si>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</si>
  <si>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</si>
  <si>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</si>
  <si>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</si>
  <si>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</si>
  <si>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</si>
  <si>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</si>
  <si>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</si>
  <si>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</si>
  <si>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</si>
  <si>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</si>
  <si>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</si>
  <si>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</si>
  <si>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</si>
  <si>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</si>
  <si>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</si>
  <si>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</si>
  <si>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</si>
  <si>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</si>
  <si>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</si>
  <si>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</si>
  <si>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</si>
  <si>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</si>
  <si>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</si>
  <si>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</si>
  <si>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</si>
  <si>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</si>
  <si>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</si>
  <si>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</si>
  <si>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</si>
  <si>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</si>
  <si>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</si>
  <si>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</si>
  <si>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</si>
  <si>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</si>
  <si>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</si>
  <si>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</si>
  <si>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</si>
  <si>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</si>
  <si>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</si>
  <si>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</si>
  <si>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</si>
  <si>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</si>
  <si>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</si>
  <si>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</si>
  <si>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</si>
  <si>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</si>
  <si>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</si>
  <si>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</si>
  <si>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</si>
  <si>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</si>
  <si>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</si>
  <si>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</si>
  <si>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</si>
  <si>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</si>
  <si>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</si>
  <si>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</si>
  <si>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</si>
  <si>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</si>
  <si>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</si>
  <si>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</si>
  <si>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</si>
  <si>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</si>
  <si>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</si>
  <si>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</si>
  <si>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</si>
  <si>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</si>
  <si>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</si>
  <si>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</si>
  <si>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</si>
  <si>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</si>
  <si>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</si>
  <si>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</si>
  <si>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</si>
  <si>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</si>
  <si>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</si>
  <si>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</si>
  <si>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</si>
  <si>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</si>
  <si>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</si>
  <si>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</si>
  <si>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</si>
  <si>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</si>
  <si>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</si>
  <si>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</si>
  <si>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</si>
  <si>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</si>
  <si>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</si>
  <si>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</si>
  <si>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</si>
  <si>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</si>
  <si>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</si>
  <si>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</si>
  <si>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</si>
  <si>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</si>
  <si>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</si>
  <si>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</si>
  <si>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</si>
  <si>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</si>
  <si>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</si>
  <si>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</si>
  <si>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</si>
  <si>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</si>
  <si>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</si>
  <si>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</si>
  <si>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</si>
  <si>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</si>
  <si>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</si>
  <si>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</si>
  <si>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</si>
  <si>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</si>
  <si>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</si>
  <si>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</si>
  <si>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</si>
  <si>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</si>
  <si>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</si>
  <si>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</si>
  <si>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</si>
  <si>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</si>
  <si>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</si>
  <si>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</si>
  <si>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</si>
  <si>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</si>
  <si>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</si>
  <si>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</si>
  <si>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</si>
  <si>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</si>
  <si>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</si>
  <si>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</si>
  <si>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</si>
  <si>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</si>
  <si>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</si>
  <si>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</si>
  <si>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</si>
  <si>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</si>
  <si>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</si>
  <si>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</si>
  <si>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</si>
  <si>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</si>
  <si>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</si>
  <si>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</si>
  <si>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</si>
  <si>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</si>
  <si>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</si>
  <si>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</si>
  <si>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</si>
  <si>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</si>
  <si>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</si>
  <si>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</si>
  <si>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</si>
  <si>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</si>
  <si>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</si>
  <si>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</si>
  <si>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</si>
  <si>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</si>
  <si>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</si>
  <si>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</si>
  <si>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</si>
  <si>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</si>
  <si>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</si>
  <si>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</si>
  <si>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</si>
  <si>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</si>
  <si>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</si>
  <si>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</si>
  <si>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</si>
  <si>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</si>
  <si>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</si>
  <si>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</si>
  <si>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</si>
  <si>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</si>
  <si>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</si>
  <si>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</si>
  <si>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</si>
  <si>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</si>
  <si>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</si>
  <si>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</si>
  <si>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</si>
  <si>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</si>
  <si>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</si>
  <si>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</si>
  <si>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</si>
  <si>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</si>
  <si>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</si>
  <si>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</si>
  <si>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</si>
  <si>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</si>
  <si>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</si>
  <si>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</si>
  <si>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</si>
  <si>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</si>
  <si>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</si>
  <si>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</si>
  <si>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</si>
  <si>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</si>
  <si>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</si>
  <si>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</si>
  <si>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</si>
  <si>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</si>
  <si>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</si>
  <si>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</si>
  <si>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</si>
  <si>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</si>
  <si>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</si>
  <si>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</si>
  <si>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</si>
  <si>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</si>
  <si>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</si>
  <si>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</si>
  <si>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</si>
  <si>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</si>
  <si>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</si>
  <si>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</si>
  <si>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</si>
  <si>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</si>
  <si>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</si>
  <si>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</si>
  <si>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</si>
  <si>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</si>
  <si>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</si>
  <si>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</si>
  <si>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</si>
  <si>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</si>
  <si>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</si>
  <si>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</si>
  <si>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</si>
  <si>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</si>
  <si>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</si>
  <si>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</si>
  <si>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</si>
  <si>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</si>
  <si>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</si>
  <si>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</si>
  <si>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</si>
  <si>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</si>
  <si>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</si>
  <si>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</si>
  <si>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</si>
  <si>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</si>
  <si>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</si>
  <si>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</si>
  <si>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</si>
  <si>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</si>
  <si>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</si>
  <si>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</si>
  <si>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</si>
  <si>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</si>
  <si>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</si>
  <si>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</si>
  <si>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</si>
  <si>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</si>
  <si>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</si>
  <si>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</si>
  <si>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</si>
  <si>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</si>
  <si>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</si>
  <si>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</si>
  <si>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</si>
  <si>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</si>
  <si>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</si>
  <si>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</si>
  <si>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</si>
  <si>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</si>
  <si>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</si>
  <si>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</si>
  <si>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</si>
  <si>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</si>
  <si>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</si>
  <si>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</si>
  <si>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</si>
  <si>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</si>
  <si>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</si>
  <si>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</si>
  <si>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</si>
  <si>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</si>
  <si>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</si>
  <si>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</si>
  <si>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</si>
  <si>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</si>
  <si>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</si>
  <si>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</si>
  <si>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</si>
  <si>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</si>
  <si>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</si>
  <si>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</si>
  <si>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</si>
  <si>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</si>
  <si>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</si>
  <si>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</si>
  <si>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</si>
  <si>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</si>
  <si>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</si>
  <si>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</si>
  <si>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</si>
  <si>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</si>
  <si>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</si>
  <si>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</si>
  <si>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</si>
  <si>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</si>
  <si>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</si>
  <si>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</si>
  <si>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</si>
  <si>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</si>
  <si>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</si>
  <si>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</si>
  <si>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</si>
  <si>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</si>
  <si>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</si>
  <si>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</si>
  <si>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</si>
  <si>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</si>
  <si>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</si>
  <si>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</si>
  <si>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</si>
  <si>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</si>
  <si>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</si>
  <si>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</si>
  <si>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</si>
  <si>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</si>
  <si>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</si>
  <si>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Autumn 2026 Graduation Cap</t>
  </si>
  <si>
    <t>2026秋季 学士帽</t>
  </si>
  <si>
    <t>特殊1</t>
  </si>
  <si>
    <t>活动产出</t>
  </si>
  <si>
    <t>v2\Headwear\GraduationCap_Autumn2026.png</t>
  </si>
  <si>
    <t>v2\ItemIcon\Headwear_GraduationCap_Autumn2026.png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</si>
  <si>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</si>
  <si>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</si>
  <si>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</si>
  <si>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</si>
  <si>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</si>
  <si>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</si>
  <si>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</si>
  <si>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</si>
  <si>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</si>
  <si>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</si>
  <si>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</si>
  <si>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</si>
  <si>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</si>
  <si>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</si>
  <si>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</si>
  <si>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</si>
  <si>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</si>
  <si>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</si>
  <si>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</si>
  <si>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</si>
  <si>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</si>
  <si>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</si>
  <si>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</si>
  <si>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</si>
  <si>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</si>
  <si>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</si>
  <si>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</si>
  <si>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</si>
  <si>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</si>
  <si>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</si>
  <si>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</si>
  <si>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</si>
  <si>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</si>
  <si>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</si>
  <si>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</si>
  <si>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</si>
  <si>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</si>
  <si>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</si>
  <si>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</si>
  <si>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</si>
  <si>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</si>
  <si>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</si>
  <si>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</si>
  <si>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</si>
  <si>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</si>
  <si>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</si>
  <si>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</si>
  <si>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</si>
  <si>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</si>
  <si>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</si>
  <si>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</si>
  <si>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</si>
  <si>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</si>
  <si>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</si>
  <si>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</si>
  <si>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</si>
  <si>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</si>
  <si>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</si>
  <si>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</si>
  <si>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</si>
  <si>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</si>
  <si>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</si>
  <si>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</si>
  <si>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</si>
  <si>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</si>
  <si>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</si>
  <si>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</si>
  <si>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</si>
  <si>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</si>
  <si>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</si>
  <si>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</si>
  <si>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</si>
  <si>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</si>
  <si>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</si>
  <si>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</si>
  <si>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</si>
  <si>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</si>
  <si>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</si>
  <si>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</si>
  <si>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</si>
  <si>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</si>
  <si>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</si>
  <si>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</si>
  <si>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</si>
  <si>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</si>
  <si>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</si>
  <si>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</si>
  <si>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</si>
  <si>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</si>
  <si>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</si>
  <si>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</si>
  <si>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</si>
  <si>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</si>
  <si>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</si>
  <si>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</si>
  <si>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</si>
  <si>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</si>
  <si>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</si>
  <si>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</si>
  <si>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</si>
  <si>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</si>
  <si>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</si>
  <si>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</si>
  <si>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</si>
  <si>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</si>
  <si>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</si>
  <si>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</si>
  <si>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</si>
  <si>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</si>
  <si>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</si>
  <si>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</si>
  <si>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</si>
  <si>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</si>
  <si>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</si>
  <si>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</si>
  <si>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</si>
  <si>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</si>
  <si>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</si>
  <si>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</si>
  <si>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</si>
  <si>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</si>
  <si>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</si>
  <si>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</si>
  <si>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</si>
  <si>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</si>
  <si>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</si>
  <si>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</si>
  <si>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</si>
  <si>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</si>
  <si>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</si>
  <si>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</si>
  <si>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</si>
  <si>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</si>
  <si>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</si>
  <si>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</si>
  <si>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</si>
  <si>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</si>
  <si>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</si>
  <si>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</si>
  <si>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</si>
  <si>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</si>
  <si>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</si>
  <si>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</si>
  <si>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</si>
  <si>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</si>
  <si>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</si>
  <si>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</si>
  <si>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</si>
  <si>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</si>
  <si>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</si>
  <si>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</si>
  <si>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</si>
  <si>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</si>
  <si>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</si>
  <si>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</si>
  <si>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</si>
  <si>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</si>
  <si>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</si>
  <si>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</si>
  <si>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</si>
  <si>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</si>
  <si>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</si>
  <si>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</si>
  <si>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</si>
  <si>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</si>
  <si>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</si>
  <si>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</si>
  <si>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</si>
  <si>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</si>
  <si>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</si>
  <si>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</si>
  <si>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</si>
  <si>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</si>
  <si>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</si>
  <si>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</si>
  <si>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</si>
  <si>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</si>
  <si>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</si>
  <si>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</si>
  <si>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</si>
  <si>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</si>
  <si>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</si>
  <si>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</si>
  <si>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</si>
  <si>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</si>
  <si>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</si>
  <si>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</si>
  <si>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</si>
  <si>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</si>
  <si>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</si>
  <si>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</si>
  <si>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</si>
  <si>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</si>
  <si>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</si>
  <si>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</si>
  <si>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</si>
  <si>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</si>
  <si>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</si>
  <si>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</si>
  <si>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</si>
  <si>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</si>
  <si>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</si>
  <si>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</si>
  <si>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</si>
  <si>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</si>
  <si>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</si>
  <si>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</si>
  <si>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</si>
  <si>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</si>
  <si>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</si>
  <si>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</si>
  <si>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</si>
  <si>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</si>
  <si>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</si>
  <si>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</si>
  <si>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</si>
  <si>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</si>
  <si>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</si>
  <si>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</si>
  <si>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</si>
  <si>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</si>
  <si>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</si>
  <si>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</si>
  <si>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</si>
  <si>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</si>
  <si>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</si>
  <si>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</si>
  <si>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</si>
  <si>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</si>
  <si>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</si>
  <si>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</si>
  <si>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</si>
  <si>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</si>
  <si>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</si>
  <si>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</si>
  <si>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</si>
  <si>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</si>
  <si>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</si>
  <si>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</si>
  <si>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</si>
  <si>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</si>
  <si>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</si>
  <si>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</si>
  <si>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</si>
  <si>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</si>
  <si>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</si>
  <si>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</si>
  <si>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</si>
  <si>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</si>
  <si>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</si>
  <si>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</si>
  <si>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</si>
  <si>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</si>
  <si>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</si>
  <si>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</si>
  <si>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</si>
  <si>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</si>
  <si>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</si>
  <si>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</si>
  <si>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</si>
  <si>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</si>
  <si>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</si>
  <si>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</si>
  <si>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</si>
  <si>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</si>
  <si>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</si>
  <si>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</si>
  <si>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</si>
  <si>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</si>
  <si>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</si>
  <si>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</si>
  <si>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</si>
  <si>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</si>
  <si>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</si>
  <si>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</si>
  <si>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</si>
  <si>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</si>
  <si>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</si>
  <si>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</si>
  <si>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</si>
  <si>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</si>
  <si>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</si>
  <si>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</si>
  <si>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</si>
  <si>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</si>
  <si>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</si>
  <si>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</si>
  <si>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</si>
  <si>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</si>
  <si>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</si>
  <si>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</si>
  <si>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</si>
  <si>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</si>
  <si>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</si>
  <si>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</si>
  <si>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</si>
  <si>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</si>
  <si>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</si>
  <si>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</si>
  <si>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</si>
  <si>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</si>
  <si>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</si>
  <si>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</si>
  <si>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</si>
  <si>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</si>
  <si>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</si>
  <si>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</si>
  <si>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</si>
  <si>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</si>
  <si>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</si>
  <si>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</si>
  <si>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</si>
  <si>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</si>
  <si>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</si>
  <si>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</si>
  <si>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</si>
  <si>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</si>
  <si>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</si>
  <si>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</si>
  <si>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</si>
  <si>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</si>
  <si>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</si>
  <si>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</si>
  <si>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</si>
  <si>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</si>
  <si>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</si>
  <si>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</si>
  <si>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</si>
  <si>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</si>
  <si>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</si>
  <si>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</si>
  <si>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</si>
  <si>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</si>
  <si>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</si>
  <si>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</si>
  <si>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</si>
  <si>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</si>
  <si>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</si>
  <si>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</si>
  <si>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</si>
  <si>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</si>
  <si>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</si>
  <si>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</si>
  <si>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</si>
  <si>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</si>
  <si>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</si>
  <si>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</si>
  <si>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</si>
  <si>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</si>
  <si>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</si>
  <si>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</si>
  <si>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</si>
  <si>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</si>
  <si>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</si>
  <si>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</si>
  <si>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</si>
  <si>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</si>
  <si>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</si>
  <si>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</si>
  <si>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</si>
  <si>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</si>
  <si>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</si>
  <si>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</si>
  <si>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</si>
  <si>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</si>
  <si>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</si>
  <si>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</si>
  <si>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</si>
  <si>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</si>
  <si>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</si>
  <si>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</si>
  <si>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</si>
  <si>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</si>
  <si>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</si>
  <si>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</si>
  <si>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</si>
  <si>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</si>
  <si>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</si>
  <si>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</si>
  <si>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</si>
  <si>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</si>
  <si>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</si>
  <si>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</si>
  <si>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</si>
  <si>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</si>
  <si>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</si>
  <si>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</si>
  <si>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</si>
  <si>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</si>
  <si>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</si>
  <si>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</si>
  <si>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</si>
  <si>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</si>
  <si>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</si>
  <si>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</si>
  <si>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</si>
  <si>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</si>
  <si>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</si>
  <si>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</si>
  <si>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</si>
  <si>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</si>
  <si>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</si>
  <si>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</si>
  <si>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</si>
  <si>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</si>
  <si>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</si>
  <si>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</si>
  <si>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</si>
  <si>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</si>
  <si>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</si>
  <si>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</si>
  <si>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</si>
  <si>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</si>
  <si>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</si>
  <si>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</si>
  <si>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</si>
  <si>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</si>
  <si>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</si>
  <si>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</si>
  <si>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</si>
  <si>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</si>
  <si>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</si>
  <si>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</si>
  <si>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</si>
  <si>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</si>
  <si>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</si>
  <si>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</si>
  <si>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</si>
  <si>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</si>
  <si>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</si>
  <si>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</si>
  <si>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</si>
  <si>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</si>
  <si>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</si>
  <si>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</si>
  <si>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</si>
  <si>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</si>
  <si>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</si>
  <si>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</si>
  <si>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</si>
  <si>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</si>
  <si>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</si>
  <si>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</si>
  <si>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</si>
  <si>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</si>
  <si>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</si>
  <si>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</si>
  <si>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</si>
  <si>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</si>
  <si>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</si>
  <si>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</si>
  <si>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</si>
  <si>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</si>
  <si>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</si>
  <si>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</si>
  <si>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</si>
  <si>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</si>
  <si>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</si>
  <si>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</si>
  <si>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</si>
  <si>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</si>
  <si>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</si>
  <si>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</si>
  <si>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</si>
  <si>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</si>
  <si>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</si>
  <si>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</si>
  <si>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</si>
  <si>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</si>
  <si>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</si>
  <si>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</si>
  <si>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</si>
  <si>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</si>
  <si>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</si>
  <si>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</si>
  <si>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</si>
  <si>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</si>
  <si>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</si>
  <si>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</si>
  <si>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</si>
  <si>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</si>
  <si>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</si>
  <si>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</si>
  <si>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</si>
  <si>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</si>
  <si>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</si>
  <si>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</si>
  <si>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</si>
  <si>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</si>
  <si>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</si>
  <si>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</si>
  <si>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</si>
  <si>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</si>
  <si>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</si>
  <si>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</si>
  <si>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</si>
  <si>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</si>
  <si>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</si>
  <si>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</si>
  <si>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</si>
  <si>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</si>
  <si>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</si>
  <si>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</si>
  <si>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</si>
  <si>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</si>
  <si>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</si>
  <si>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</si>
  <si>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</si>
  <si>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</si>
  <si>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</si>
  <si>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</si>
  <si>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</si>
  <si>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</si>
  <si>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</si>
  <si>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</si>
  <si>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</si>
  <si>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</si>
  <si>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</si>
  <si>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</si>
  <si>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</si>
  <si>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</si>
  <si>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</si>
  <si>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</si>
  <si>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</si>
  <si>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</si>
  <si>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</si>
  <si>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</si>
  <si>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</si>
  <si>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</si>
  <si>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</si>
  <si>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</si>
  <si>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</si>
  <si>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</si>
  <si>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</si>
  <si>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</si>
  <si>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</si>
  <si>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</si>
  <si>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</si>
  <si>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</si>
  <si>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</si>
  <si>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</si>
  <si>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</si>
  <si>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</si>
  <si>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</si>
  <si>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</si>
  <si>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</si>
  <si>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</si>
  <si>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Demo盲盒普</t>
  </si>
  <si>
    <t>Demo盲盒狗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</si>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</sst>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rgb="FFFF51C8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33"/>
      <tableStyleElement type="totalRow" dxfId="32"/>
      <tableStyleElement type="firstRowStripe" dxfId="31"/>
      <tableStyleElement type="firstColumnStripe" dxfId="30"/>
      <tableStyleElement type="firstSubtotalRow" dxfId="29"/>
      <tableStyleElement type="secondSubtotalRow" dxfId="28"/>
      <tableStyleElement type="firstRowSubheading" dxfId="27"/>
      <tableStyleElement type="secondRowSubheading" dxfId="26"/>
      <tableStyleElement type="pageFieldLabels" dxfId="25"/>
      <tableStyleElement type="pageFieldValues" dxfId="24"/>
    </tableStyle>
  </tableStyles>
  <colors>
    <mruColors>
      <color rgb="00EFE4B7"/>
      <color rgb="00F083F3"/>
      <color rgb="00FF51C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3"/>
  <sheetViews>
    <sheetView topLeftCell="A55" workbookViewId="0">
      <selection activeCell="B76" sqref="B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customFormat="1" spans="1:26">
      <c r="B76">
        <v>2034</v>
      </c>
      <c r="C76" t="s">
        <v>343</v>
      </c>
      <c r="D76" t="s">
        <v>344</v>
      </c>
      <c r="E76" t="s">
        <v>212</v>
      </c>
      <c r="F76" t="s">
        <v>85</v>
      </c>
      <c r="I76" t="s">
        <v>345</v>
      </c>
      <c r="J76">
        <v>100</v>
      </c>
      <c r="K76" t="b">
        <v>0</v>
      </c>
      <c r="L76" t="s">
        <v>346</v>
      </c>
      <c r="M76">
        <v>0</v>
      </c>
      <c r="N76" s="28"/>
      <c r="O76" t="s">
        <v>347</v>
      </c>
      <c r="P76" t="s">
        <v>348</v>
      </c>
      <c r="R76" s="28"/>
      <c r="S76">
        <v>102034</v>
      </c>
      <c r="T76" t="s">
        <v>90</v>
      </c>
      <c r="V76" t="b">
        <v>1</v>
      </c>
      <c r="W76" t="b">
        <v>0</v>
      </c>
      <c r="X76" t="b">
        <v>0</v>
      </c>
      <c r="Y76" t="b">
        <v>0</v>
      </c>
      <c r="Z76" t="b">
        <v>0</v>
      </c>
    </row>
    <row r="77" s="9" customFormat="1" spans="1:26">
      <c r="A77" s="9" t="s">
        <v>39</v>
      </c>
      <c r="B77" s="9" t="s">
        <v>349</v>
      </c>
      <c r="C77" s="9" t="s">
        <v>350</v>
      </c>
      <c r="D77" s="9" t="s">
        <v>351</v>
      </c>
      <c r="E77" s="9" t="s">
        <v>352</v>
      </c>
      <c r="F77" s="9" t="s">
        <v>93</v>
      </c>
      <c r="I77" s="9" t="s">
        <v>100</v>
      </c>
      <c r="J77" s="9">
        <v>0</v>
      </c>
      <c r="K77" s="9" t="b">
        <v>1</v>
      </c>
      <c r="L77" s="9" t="s">
        <v>353</v>
      </c>
      <c r="M77" s="9" t="s">
        <v>209</v>
      </c>
      <c r="O77" s="9" t="s">
        <v>354</v>
      </c>
      <c r="P77" s="9" t="s">
        <v>355</v>
      </c>
      <c r="S77" s="9">
        <v>103001</v>
      </c>
      <c r="T77" s="9" t="s">
        <v>90</v>
      </c>
      <c r="V77" s="9" t="b">
        <v>1</v>
      </c>
      <c r="W77" s="9" t="b">
        <v>0</v>
      </c>
      <c r="X77" s="9" t="b">
        <v>0</v>
      </c>
      <c r="Y77" s="9" t="b">
        <v>0</v>
      </c>
      <c r="Z77" s="9" t="b">
        <v>1</v>
      </c>
    </row>
    <row r="78" s="27" customFormat="1" spans="1:26">
      <c r="B78" s="27">
        <v>4001</v>
      </c>
      <c r="C78" s="27" t="s">
        <v>356</v>
      </c>
      <c r="D78" s="27" t="s">
        <v>357</v>
      </c>
      <c r="E78" s="27" t="s">
        <v>358</v>
      </c>
      <c r="F78" s="27" t="s">
        <v>85</v>
      </c>
      <c r="G78" s="27" t="s">
        <v>359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360</v>
      </c>
      <c r="P78" s="27" t="s">
        <v>361</v>
      </c>
      <c r="S78" s="27">
        <v>104001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4002</v>
      </c>
      <c r="C79" s="27" t="s">
        <v>362</v>
      </c>
      <c r="D79" s="27" t="s">
        <v>363</v>
      </c>
      <c r="E79" s="27" t="s">
        <v>358</v>
      </c>
      <c r="F79" s="27" t="s">
        <v>85</v>
      </c>
      <c r="G79" s="27" t="s">
        <v>359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364</v>
      </c>
      <c r="P79" s="27" t="s">
        <v>365</v>
      </c>
      <c r="S79" s="27">
        <v>104002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4003</v>
      </c>
      <c r="C80" s="27" t="s">
        <v>366</v>
      </c>
      <c r="D80" s="27" t="s">
        <v>367</v>
      </c>
      <c r="E80" s="27" t="s">
        <v>358</v>
      </c>
      <c r="F80" s="27" t="s">
        <v>85</v>
      </c>
      <c r="G80" s="27" t="s">
        <v>359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368</v>
      </c>
      <c r="P80" s="27" t="s">
        <v>369</v>
      </c>
      <c r="S80" s="27">
        <v>104003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4004</v>
      </c>
      <c r="C81" s="27" t="s">
        <v>370</v>
      </c>
      <c r="D81" s="27" t="s">
        <v>371</v>
      </c>
      <c r="E81" s="27" t="s">
        <v>358</v>
      </c>
      <c r="F81" s="27" t="s">
        <v>85</v>
      </c>
      <c r="G81" s="27" t="s">
        <v>359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372</v>
      </c>
      <c r="P81" s="27" t="s">
        <v>373</v>
      </c>
      <c r="S81" s="27">
        <v>104004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4005</v>
      </c>
      <c r="C82" s="27" t="s">
        <v>374</v>
      </c>
      <c r="D82" s="27" t="s">
        <v>375</v>
      </c>
      <c r="E82" s="27" t="s">
        <v>358</v>
      </c>
      <c r="F82" s="27" t="s">
        <v>85</v>
      </c>
      <c r="G82" s="27" t="s">
        <v>359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376</v>
      </c>
      <c r="P82" s="27" t="s">
        <v>377</v>
      </c>
      <c r="S82" s="27">
        <v>104005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="27" customFormat="1" spans="2:26">
      <c r="B83" s="27">
        <v>4006</v>
      </c>
      <c r="C83" s="27" t="s">
        <v>378</v>
      </c>
      <c r="D83" s="27" t="s">
        <v>379</v>
      </c>
      <c r="E83" s="27" t="s">
        <v>358</v>
      </c>
      <c r="F83" s="27" t="s">
        <v>85</v>
      </c>
      <c r="G83" s="27" t="s">
        <v>359</v>
      </c>
      <c r="I83" s="27" t="s">
        <v>86</v>
      </c>
      <c r="J83" s="27">
        <v>0</v>
      </c>
      <c r="K83" s="27" t="b">
        <v>1</v>
      </c>
      <c r="L83" s="27" t="s">
        <v>87</v>
      </c>
      <c r="M83" s="27">
        <v>0</v>
      </c>
      <c r="O83" s="27" t="s">
        <v>380</v>
      </c>
      <c r="P83" s="27" t="s">
        <v>381</v>
      </c>
      <c r="S83" s="27">
        <v>104006</v>
      </c>
      <c r="T83" s="27" t="s">
        <v>90</v>
      </c>
      <c r="U83" s="27"/>
      <c r="V83" s="27" t="b">
        <v>1</v>
      </c>
      <c r="W83" s="27" t="b">
        <v>0</v>
      </c>
      <c r="X83" s="27" t="b">
        <v>0</v>
      </c>
      <c r="Y83" s="27" t="b">
        <v>0</v>
      </c>
      <c r="Z83" s="27" t="b">
        <v>0</v>
      </c>
    </row>
    <row r="84" spans="2:26">
      <c r="B84">
        <v>5001</v>
      </c>
      <c r="C84" t="s">
        <v>382</v>
      </c>
      <c r="D84" t="s">
        <v>383</v>
      </c>
      <c r="E84" t="s">
        <v>384</v>
      </c>
      <c r="F84" t="s">
        <v>93</v>
      </c>
      <c r="I84" t="s">
        <v>100</v>
      </c>
      <c r="J84">
        <v>300</v>
      </c>
      <c r="K84" t="b">
        <v>0</v>
      </c>
      <c r="L84" t="s">
        <v>95</v>
      </c>
      <c r="M84">
        <v>0</v>
      </c>
      <c r="O84" t="s">
        <v>385</v>
      </c>
      <c r="P84" t="s">
        <v>386</v>
      </c>
      <c r="S84">
        <v>105001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5002</v>
      </c>
      <c r="C85" t="s">
        <v>387</v>
      </c>
      <c r="D85" t="s">
        <v>388</v>
      </c>
      <c r="E85" t="s">
        <v>384</v>
      </c>
      <c r="F85" t="s">
        <v>93</v>
      </c>
      <c r="I85" t="s">
        <v>109</v>
      </c>
      <c r="J85">
        <v>300</v>
      </c>
      <c r="K85" t="b">
        <v>0</v>
      </c>
      <c r="L85" t="s">
        <v>95</v>
      </c>
      <c r="M85">
        <v>0</v>
      </c>
      <c r="O85" t="s">
        <v>389</v>
      </c>
      <c r="P85" t="s">
        <v>390</v>
      </c>
      <c r="S85">
        <v>105002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5003</v>
      </c>
      <c r="C86" t="s">
        <v>391</v>
      </c>
      <c r="D86" t="s">
        <v>392</v>
      </c>
      <c r="E86" t="s">
        <v>384</v>
      </c>
      <c r="F86" t="s">
        <v>93</v>
      </c>
      <c r="I86" t="s">
        <v>94</v>
      </c>
      <c r="J86">
        <v>300</v>
      </c>
      <c r="K86" t="b">
        <v>0</v>
      </c>
      <c r="L86" t="s">
        <v>95</v>
      </c>
      <c r="M86">
        <v>0</v>
      </c>
      <c r="O86" t="s">
        <v>393</v>
      </c>
      <c r="P86" t="s">
        <v>394</v>
      </c>
      <c r="S86">
        <v>105003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5004</v>
      </c>
      <c r="C87" t="s">
        <v>395</v>
      </c>
      <c r="D87" t="s">
        <v>396</v>
      </c>
      <c r="E87" t="s">
        <v>384</v>
      </c>
      <c r="F87" t="s">
        <v>85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397</v>
      </c>
      <c r="P87" t="s">
        <v>398</v>
      </c>
      <c r="S87">
        <v>105004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5005</v>
      </c>
      <c r="C88" t="s">
        <v>399</v>
      </c>
      <c r="D88" t="s">
        <v>400</v>
      </c>
      <c r="E88" t="s">
        <v>384</v>
      </c>
      <c r="F88" t="s">
        <v>93</v>
      </c>
      <c r="I88" t="s">
        <v>109</v>
      </c>
      <c r="J88">
        <v>300</v>
      </c>
      <c r="K88" t="b">
        <v>0</v>
      </c>
      <c r="L88" t="s">
        <v>95</v>
      </c>
      <c r="M88">
        <v>0</v>
      </c>
      <c r="O88" t="s">
        <v>401</v>
      </c>
      <c r="P88" t="s">
        <v>402</v>
      </c>
      <c r="S88">
        <v>105005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5006</v>
      </c>
      <c r="C89" t="s">
        <v>403</v>
      </c>
      <c r="D89" t="s">
        <v>404</v>
      </c>
      <c r="E89" t="s">
        <v>384</v>
      </c>
      <c r="F89" t="s">
        <v>93</v>
      </c>
      <c r="I89" t="s">
        <v>100</v>
      </c>
      <c r="J89">
        <v>300</v>
      </c>
      <c r="K89" t="b">
        <v>0</v>
      </c>
      <c r="L89" t="s">
        <v>95</v>
      </c>
      <c r="M89">
        <v>0</v>
      </c>
      <c r="O89" t="s">
        <v>405</v>
      </c>
      <c r="P89" t="s">
        <v>406</v>
      </c>
      <c r="S89">
        <v>105006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5007</v>
      </c>
      <c r="C90" t="s">
        <v>407</v>
      </c>
      <c r="D90" t="s">
        <v>408</v>
      </c>
      <c r="E90" t="s">
        <v>384</v>
      </c>
      <c r="F90" t="s">
        <v>93</v>
      </c>
      <c r="I90" t="s">
        <v>94</v>
      </c>
      <c r="J90">
        <v>300</v>
      </c>
      <c r="K90" t="b">
        <v>0</v>
      </c>
      <c r="L90" t="s">
        <v>95</v>
      </c>
      <c r="M90">
        <v>0</v>
      </c>
      <c r="O90" t="s">
        <v>409</v>
      </c>
      <c r="P90" t="s">
        <v>410</v>
      </c>
      <c r="S90">
        <v>105007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pans="2:26">
      <c r="B91">
        <v>5008</v>
      </c>
      <c r="C91" t="s">
        <v>411</v>
      </c>
      <c r="D91" t="s">
        <v>412</v>
      </c>
      <c r="E91" t="s">
        <v>384</v>
      </c>
      <c r="F91" t="s">
        <v>85</v>
      </c>
      <c r="I91" t="s">
        <v>100</v>
      </c>
      <c r="J91">
        <v>300</v>
      </c>
      <c r="K91" t="b">
        <v>0</v>
      </c>
      <c r="L91" t="s">
        <v>95</v>
      </c>
      <c r="M91">
        <v>0</v>
      </c>
      <c r="O91" t="s">
        <v>413</v>
      </c>
      <c r="P91" t="s">
        <v>414</v>
      </c>
      <c r="S91">
        <v>105008</v>
      </c>
      <c r="T91" t="s">
        <v>90</v>
      </c>
      <c r="V91" t="b">
        <v>1</v>
      </c>
      <c r="W91" t="b">
        <v>0</v>
      </c>
      <c r="X91" t="b">
        <v>0</v>
      </c>
      <c r="Y91" t="b">
        <v>0</v>
      </c>
      <c r="Z91" t="b">
        <v>0</v>
      </c>
    </row>
    <row r="92" s="27" customFormat="1" spans="2:26">
      <c r="B92" s="27">
        <v>6001</v>
      </c>
      <c r="C92" s="27" t="s">
        <v>415</v>
      </c>
      <c r="D92" s="27" t="s">
        <v>416</v>
      </c>
      <c r="E92" s="27" t="s">
        <v>417</v>
      </c>
      <c r="F92" s="27" t="s">
        <v>85</v>
      </c>
      <c r="G92" s="27" t="s">
        <v>209</v>
      </c>
      <c r="H92" s="27" t="s">
        <v>209</v>
      </c>
      <c r="I92" s="27" t="s">
        <v>86</v>
      </c>
      <c r="J92" s="27">
        <v>300</v>
      </c>
      <c r="K92" s="27" t="b">
        <v>0</v>
      </c>
      <c r="L92" s="27" t="s">
        <v>87</v>
      </c>
      <c r="M92" s="27">
        <v>0</v>
      </c>
      <c r="N92" s="27" t="s">
        <v>209</v>
      </c>
      <c r="O92" s="27" t="s">
        <v>418</v>
      </c>
      <c r="P92" s="27" t="s">
        <v>419</v>
      </c>
      <c r="S92" s="27">
        <v>106001</v>
      </c>
      <c r="T92" s="27" t="s">
        <v>90</v>
      </c>
      <c r="U92" s="27"/>
      <c r="V92" s="27" t="b">
        <v>1</v>
      </c>
      <c r="W92" s="27" t="b">
        <v>0</v>
      </c>
      <c r="X92" s="27" t="b">
        <v>0</v>
      </c>
      <c r="Y92" s="27" t="b">
        <v>0</v>
      </c>
      <c r="Z92" s="27" t="b">
        <v>0</v>
      </c>
    </row>
    <row r="93" spans="2:26">
      <c r="B93">
        <v>6002</v>
      </c>
      <c r="C93" t="s">
        <v>420</v>
      </c>
      <c r="D93" t="s">
        <v>421</v>
      </c>
      <c r="E93" t="s">
        <v>417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422</v>
      </c>
      <c r="P93" t="s">
        <v>423</v>
      </c>
      <c r="S93">
        <v>106002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6003</v>
      </c>
      <c r="C94" t="s">
        <v>424</v>
      </c>
      <c r="D94" t="s">
        <v>425</v>
      </c>
      <c r="E94" t="s">
        <v>417</v>
      </c>
      <c r="F94" t="s">
        <v>93</v>
      </c>
      <c r="G94" t="s">
        <v>209</v>
      </c>
      <c r="H94" t="s">
        <v>209</v>
      </c>
      <c r="I94" t="s">
        <v>109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426</v>
      </c>
      <c r="P94" t="s">
        <v>427</v>
      </c>
      <c r="S94">
        <v>106003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6004</v>
      </c>
      <c r="C95" t="s">
        <v>428</v>
      </c>
      <c r="D95" t="s">
        <v>429</v>
      </c>
      <c r="E95" t="s">
        <v>417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430</v>
      </c>
      <c r="P95" t="s">
        <v>431</v>
      </c>
      <c r="S95">
        <v>106004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6005</v>
      </c>
      <c r="C96" t="s">
        <v>432</v>
      </c>
      <c r="D96" t="s">
        <v>433</v>
      </c>
      <c r="E96" t="s">
        <v>417</v>
      </c>
      <c r="F96" t="s">
        <v>93</v>
      </c>
      <c r="G96" t="s">
        <v>209</v>
      </c>
      <c r="H96" t="s">
        <v>209</v>
      </c>
      <c r="I96" t="s">
        <v>94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434</v>
      </c>
      <c r="P96" t="s">
        <v>435</v>
      </c>
      <c r="S96">
        <v>106005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6006</v>
      </c>
      <c r="C97" t="s">
        <v>436</v>
      </c>
      <c r="D97" t="s">
        <v>437</v>
      </c>
      <c r="E97" t="s">
        <v>417</v>
      </c>
      <c r="F97" t="s">
        <v>85</v>
      </c>
      <c r="G97" t="s">
        <v>209</v>
      </c>
      <c r="H97" t="s">
        <v>209</v>
      </c>
      <c r="I97" t="s">
        <v>109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438</v>
      </c>
      <c r="P97" t="s">
        <v>439</v>
      </c>
      <c r="S97">
        <v>106006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6007</v>
      </c>
      <c r="C98" t="s">
        <v>440</v>
      </c>
      <c r="D98" t="s">
        <v>441</v>
      </c>
      <c r="E98" t="s">
        <v>417</v>
      </c>
      <c r="F98" t="s">
        <v>93</v>
      </c>
      <c r="G98" t="s">
        <v>209</v>
      </c>
      <c r="H98" t="s">
        <v>209</v>
      </c>
      <c r="I98" t="s">
        <v>129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442</v>
      </c>
      <c r="P98" t="s">
        <v>443</v>
      </c>
      <c r="S98">
        <v>106007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6008</v>
      </c>
      <c r="C99" t="s">
        <v>444</v>
      </c>
      <c r="D99" t="s">
        <v>445</v>
      </c>
      <c r="E99" t="s">
        <v>417</v>
      </c>
      <c r="F99" t="s">
        <v>85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446</v>
      </c>
      <c r="P99" t="s">
        <v>447</v>
      </c>
      <c r="S99">
        <v>106008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6009</v>
      </c>
      <c r="C100" t="s">
        <v>448</v>
      </c>
      <c r="D100" t="s">
        <v>449</v>
      </c>
      <c r="E100" t="s">
        <v>417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450</v>
      </c>
      <c r="P100" t="s">
        <v>451</v>
      </c>
      <c r="S100">
        <v>106009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6010</v>
      </c>
      <c r="C101" t="s">
        <v>452</v>
      </c>
      <c r="D101" t="s">
        <v>453</v>
      </c>
      <c r="E101" t="s">
        <v>417</v>
      </c>
      <c r="F101" t="s">
        <v>93</v>
      </c>
      <c r="G101" t="s">
        <v>209</v>
      </c>
      <c r="H101" t="s">
        <v>209</v>
      </c>
      <c r="I101" t="s">
        <v>100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454</v>
      </c>
      <c r="P101" t="s">
        <v>455</v>
      </c>
      <c r="S101">
        <v>106010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6011</v>
      </c>
      <c r="C102" t="s">
        <v>456</v>
      </c>
      <c r="D102" t="s">
        <v>457</v>
      </c>
      <c r="E102" t="s">
        <v>417</v>
      </c>
      <c r="F102" t="s">
        <v>93</v>
      </c>
      <c r="G102" t="s">
        <v>209</v>
      </c>
      <c r="H102" t="s">
        <v>209</v>
      </c>
      <c r="I102" t="s">
        <v>113</v>
      </c>
      <c r="J102">
        <v>300</v>
      </c>
      <c r="K102" t="b">
        <v>0</v>
      </c>
      <c r="L102" t="s">
        <v>95</v>
      </c>
      <c r="M102">
        <v>0</v>
      </c>
      <c r="N102" s="28" t="s">
        <v>209</v>
      </c>
      <c r="O102" t="s">
        <v>458</v>
      </c>
      <c r="P102" t="s">
        <v>459</v>
      </c>
      <c r="S102">
        <v>106011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7001</v>
      </c>
      <c r="C103" t="s">
        <v>460</v>
      </c>
      <c r="D103" t="s">
        <v>461</v>
      </c>
      <c r="E103" t="s">
        <v>462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463</v>
      </c>
      <c r="P103" t="s">
        <v>464</v>
      </c>
      <c r="S103">
        <v>107001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7002</v>
      </c>
      <c r="C104" t="s">
        <v>465</v>
      </c>
      <c r="D104" t="s">
        <v>466</v>
      </c>
      <c r="E104" t="s">
        <v>462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467</v>
      </c>
      <c r="P104" t="s">
        <v>468</v>
      </c>
      <c r="S104">
        <v>107002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pans="2:26">
      <c r="B105">
        <v>7003</v>
      </c>
      <c r="C105" t="s">
        <v>469</v>
      </c>
      <c r="D105" t="s">
        <v>470</v>
      </c>
      <c r="E105" t="s">
        <v>462</v>
      </c>
      <c r="F105" t="s">
        <v>93</v>
      </c>
      <c r="I105" t="s">
        <v>100</v>
      </c>
      <c r="J105">
        <v>300</v>
      </c>
      <c r="K105" t="b">
        <v>0</v>
      </c>
      <c r="L105" t="s">
        <v>95</v>
      </c>
      <c r="M105">
        <v>0</v>
      </c>
      <c r="O105" t="s">
        <v>471</v>
      </c>
      <c r="P105" t="s">
        <v>472</v>
      </c>
      <c r="S105">
        <v>107003</v>
      </c>
      <c r="T105" t="s">
        <v>90</v>
      </c>
      <c r="V105" t="b">
        <v>1</v>
      </c>
      <c r="W105" t="b">
        <v>0</v>
      </c>
      <c r="X105" t="b">
        <v>0</v>
      </c>
      <c r="Y105" t="b">
        <v>0</v>
      </c>
      <c r="Z105" t="b">
        <v>0</v>
      </c>
    </row>
    <row r="106" s="27" customFormat="1" spans="2:26">
      <c r="B106" s="27">
        <v>7004</v>
      </c>
      <c r="C106" s="27" t="s">
        <v>473</v>
      </c>
      <c r="D106" s="27" t="s">
        <v>474</v>
      </c>
      <c r="E106" s="27" t="s">
        <v>462</v>
      </c>
      <c r="F106" s="27" t="s">
        <v>85</v>
      </c>
      <c r="I106" s="30" t="s">
        <v>86</v>
      </c>
      <c r="J106" s="27">
        <v>300</v>
      </c>
      <c r="K106" s="27" t="b">
        <v>0</v>
      </c>
      <c r="L106" s="27" t="s">
        <v>87</v>
      </c>
      <c r="M106" s="27">
        <v>0</v>
      </c>
      <c r="O106" s="27" t="s">
        <v>475</v>
      </c>
      <c r="P106" s="27" t="s">
        <v>476</v>
      </c>
      <c r="S106" s="27">
        <v>107004</v>
      </c>
      <c r="T106" s="27" t="s">
        <v>90</v>
      </c>
      <c r="U106" s="27"/>
      <c r="V106" s="27" t="b">
        <v>1</v>
      </c>
      <c r="W106" s="27" t="b">
        <v>0</v>
      </c>
      <c r="X106" s="27" t="b">
        <v>0</v>
      </c>
      <c r="Y106" s="27" t="b">
        <v>0</v>
      </c>
      <c r="Z106" s="27" t="b">
        <v>0</v>
      </c>
    </row>
    <row r="107" spans="2:26">
      <c r="B107">
        <v>7005</v>
      </c>
      <c r="C107" t="s">
        <v>477</v>
      </c>
      <c r="D107" t="s">
        <v>478</v>
      </c>
      <c r="E107" t="s">
        <v>462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479</v>
      </c>
      <c r="P107" t="s">
        <v>480</v>
      </c>
      <c r="S107">
        <v>107005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7006</v>
      </c>
      <c r="C108" t="s">
        <v>481</v>
      </c>
      <c r="D108" t="s">
        <v>482</v>
      </c>
      <c r="E108" t="s">
        <v>462</v>
      </c>
      <c r="F108" t="s">
        <v>93</v>
      </c>
      <c r="I108" s="20" t="s">
        <v>94</v>
      </c>
      <c r="J108">
        <v>300</v>
      </c>
      <c r="K108" t="b">
        <v>0</v>
      </c>
      <c r="L108" t="s">
        <v>95</v>
      </c>
      <c r="M108">
        <v>0</v>
      </c>
      <c r="O108" t="s">
        <v>483</v>
      </c>
      <c r="P108" t="s">
        <v>484</v>
      </c>
      <c r="S108">
        <v>107006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7007</v>
      </c>
      <c r="C109" t="s">
        <v>485</v>
      </c>
      <c r="D109" t="s">
        <v>486</v>
      </c>
      <c r="E109" t="s">
        <v>462</v>
      </c>
      <c r="F109" t="s">
        <v>93</v>
      </c>
      <c r="I109" t="s">
        <v>100</v>
      </c>
      <c r="J109">
        <v>300</v>
      </c>
      <c r="K109" t="b">
        <v>0</v>
      </c>
      <c r="L109" t="s">
        <v>95</v>
      </c>
      <c r="M109">
        <v>0</v>
      </c>
      <c r="O109" t="s">
        <v>487</v>
      </c>
      <c r="P109" t="s">
        <v>488</v>
      </c>
      <c r="S109">
        <v>107007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7008</v>
      </c>
      <c r="C110" t="s">
        <v>489</v>
      </c>
      <c r="D110" t="s">
        <v>490</v>
      </c>
      <c r="E110" t="s">
        <v>462</v>
      </c>
      <c r="F110" t="s">
        <v>85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491</v>
      </c>
      <c r="P110" t="s">
        <v>492</v>
      </c>
      <c r="S110">
        <v>107008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7009</v>
      </c>
      <c r="C111" t="s">
        <v>493</v>
      </c>
      <c r="D111" t="s">
        <v>494</v>
      </c>
      <c r="E111" t="s">
        <v>462</v>
      </c>
      <c r="F111" t="s">
        <v>93</v>
      </c>
      <c r="G111" t="s">
        <v>209</v>
      </c>
      <c r="H111" t="s">
        <v>209</v>
      </c>
      <c r="I111" t="s">
        <v>94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495</v>
      </c>
      <c r="P111" t="s">
        <v>496</v>
      </c>
      <c r="S111">
        <v>107009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7010</v>
      </c>
      <c r="C112" t="s">
        <v>497</v>
      </c>
      <c r="D112" t="s">
        <v>498</v>
      </c>
      <c r="E112" t="s">
        <v>462</v>
      </c>
      <c r="F112" t="s">
        <v>93</v>
      </c>
      <c r="G112" t="s">
        <v>209</v>
      </c>
      <c r="H112" t="s">
        <v>209</v>
      </c>
      <c r="I112" t="s">
        <v>129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499</v>
      </c>
      <c r="P112" t="s">
        <v>500</v>
      </c>
      <c r="S112">
        <v>107010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7011</v>
      </c>
      <c r="C113" t="s">
        <v>501</v>
      </c>
      <c r="D113" t="s">
        <v>502</v>
      </c>
      <c r="E113" t="s">
        <v>462</v>
      </c>
      <c r="F113" t="s">
        <v>93</v>
      </c>
      <c r="G113" t="s">
        <v>209</v>
      </c>
      <c r="H113" t="s">
        <v>209</v>
      </c>
      <c r="I113" t="s">
        <v>94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503</v>
      </c>
      <c r="P113" t="s">
        <v>504</v>
      </c>
      <c r="S113">
        <v>107011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7012</v>
      </c>
      <c r="C114" t="s">
        <v>505</v>
      </c>
      <c r="D114" t="s">
        <v>506</v>
      </c>
      <c r="E114" t="s">
        <v>462</v>
      </c>
      <c r="F114" t="s">
        <v>93</v>
      </c>
      <c r="G114" t="s">
        <v>209</v>
      </c>
      <c r="H114" t="s">
        <v>209</v>
      </c>
      <c r="I114" t="s">
        <v>113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507</v>
      </c>
      <c r="P114" t="s">
        <v>508</v>
      </c>
      <c r="S114">
        <v>107012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7013</v>
      </c>
      <c r="C115" t="s">
        <v>509</v>
      </c>
      <c r="D115" t="s">
        <v>510</v>
      </c>
      <c r="E115" t="s">
        <v>462</v>
      </c>
      <c r="F115" t="s">
        <v>93</v>
      </c>
      <c r="G115" t="s">
        <v>209</v>
      </c>
      <c r="H115" t="s">
        <v>209</v>
      </c>
      <c r="I115" t="s">
        <v>94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511</v>
      </c>
      <c r="P115" t="s">
        <v>512</v>
      </c>
      <c r="S115">
        <v>107013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7014</v>
      </c>
      <c r="C116" t="s">
        <v>513</v>
      </c>
      <c r="D116" t="s">
        <v>514</v>
      </c>
      <c r="E116" t="s">
        <v>462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515</v>
      </c>
      <c r="P116" t="s">
        <v>516</v>
      </c>
      <c r="S116">
        <v>107014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7015</v>
      </c>
      <c r="C117" t="s">
        <v>517</v>
      </c>
      <c r="D117" t="s">
        <v>518</v>
      </c>
      <c r="E117" t="s">
        <v>462</v>
      </c>
      <c r="F117" t="s">
        <v>93</v>
      </c>
      <c r="G117" t="s">
        <v>209</v>
      </c>
      <c r="H117" t="s">
        <v>209</v>
      </c>
      <c r="I117" t="s">
        <v>100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519</v>
      </c>
      <c r="P117" t="s">
        <v>520</v>
      </c>
      <c r="S117">
        <v>107015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7016</v>
      </c>
      <c r="C118" t="s">
        <v>521</v>
      </c>
      <c r="D118" t="s">
        <v>522</v>
      </c>
      <c r="E118" t="s">
        <v>462</v>
      </c>
      <c r="F118" t="s">
        <v>93</v>
      </c>
      <c r="G118" t="s">
        <v>209</v>
      </c>
      <c r="H118" t="s">
        <v>209</v>
      </c>
      <c r="I118" t="s">
        <v>94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523</v>
      </c>
      <c r="P118" t="s">
        <v>524</v>
      </c>
      <c r="S118">
        <v>107016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7017</v>
      </c>
      <c r="C119" t="s">
        <v>525</v>
      </c>
      <c r="D119" t="s">
        <v>526</v>
      </c>
      <c r="E119" t="s">
        <v>462</v>
      </c>
      <c r="F119" t="s">
        <v>93</v>
      </c>
      <c r="G119" t="s">
        <v>209</v>
      </c>
      <c r="H119" t="s">
        <v>209</v>
      </c>
      <c r="I119" t="s">
        <v>109</v>
      </c>
      <c r="J119">
        <v>300</v>
      </c>
      <c r="K119" t="b">
        <v>0</v>
      </c>
      <c r="L119" t="s">
        <v>95</v>
      </c>
      <c r="M119">
        <v>0</v>
      </c>
      <c r="N119" s="28" t="s">
        <v>209</v>
      </c>
      <c r="O119" t="s">
        <v>527</v>
      </c>
      <c r="P119" t="s">
        <v>528</v>
      </c>
      <c r="S119">
        <v>107017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B120">
        <v>7018</v>
      </c>
      <c r="C120" t="s">
        <v>529</v>
      </c>
      <c r="D120" t="s">
        <v>530</v>
      </c>
      <c r="E120" t="s">
        <v>462</v>
      </c>
      <c r="F120" t="s">
        <v>93</v>
      </c>
      <c r="I120" t="s">
        <v>100</v>
      </c>
      <c r="J120">
        <v>300</v>
      </c>
      <c r="K120" t="b">
        <v>0</v>
      </c>
      <c r="L120" t="s">
        <v>95</v>
      </c>
      <c r="M120">
        <v>0</v>
      </c>
      <c r="O120" t="s">
        <v>531</v>
      </c>
      <c r="P120" t="s">
        <v>532</v>
      </c>
      <c r="S120">
        <v>107018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</row>
    <row r="121" spans="1:30">
      <c r="A121" t="s">
        <v>209</v>
      </c>
      <c r="B121">
        <v>7019</v>
      </c>
      <c r="C121" t="s">
        <v>533</v>
      </c>
      <c r="D121" t="s">
        <v>534</v>
      </c>
      <c r="E121" t="s">
        <v>462</v>
      </c>
      <c r="F121" t="s">
        <v>93</v>
      </c>
      <c r="G121" t="s">
        <v>209</v>
      </c>
      <c r="H121" t="s">
        <v>209</v>
      </c>
      <c r="I121" t="s">
        <v>109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535</v>
      </c>
      <c r="P121" t="s">
        <v>536</v>
      </c>
      <c r="Q121" t="s">
        <v>209</v>
      </c>
      <c r="R121" s="28" t="s">
        <v>209</v>
      </c>
      <c r="S121">
        <v>107019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  <c r="AA121" t="s">
        <v>209</v>
      </c>
      <c r="AB121" t="s">
        <v>209</v>
      </c>
      <c r="AC121" t="s">
        <v>209</v>
      </c>
      <c r="AD121" t="s">
        <v>209</v>
      </c>
    </row>
    <row r="122" spans="1:30">
      <c r="B122">
        <v>8001</v>
      </c>
      <c r="C122" t="s">
        <v>537</v>
      </c>
      <c r="D122" t="s">
        <v>538</v>
      </c>
      <c r="E122" t="s">
        <v>539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540</v>
      </c>
      <c r="P122" t="s">
        <v>541</v>
      </c>
      <c r="S122">
        <v>108001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8003</v>
      </c>
      <c r="C123" t="s">
        <v>542</v>
      </c>
      <c r="D123" t="s">
        <v>543</v>
      </c>
      <c r="E123" t="s">
        <v>539</v>
      </c>
      <c r="F123" t="s">
        <v>93</v>
      </c>
      <c r="G123" t="s">
        <v>209</v>
      </c>
      <c r="H123" t="s">
        <v>209</v>
      </c>
      <c r="I123" t="s">
        <v>94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544</v>
      </c>
      <c r="P123" t="s">
        <v>545</v>
      </c>
      <c r="S123">
        <v>108003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8004</v>
      </c>
      <c r="C124" t="s">
        <v>546</v>
      </c>
      <c r="D124" t="s">
        <v>547</v>
      </c>
      <c r="E124" t="s">
        <v>539</v>
      </c>
      <c r="F124" t="s">
        <v>93</v>
      </c>
      <c r="G124" t="s">
        <v>209</v>
      </c>
      <c r="H124" t="s">
        <v>209</v>
      </c>
      <c r="I124" t="s">
        <v>109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548</v>
      </c>
      <c r="P124" t="s">
        <v>549</v>
      </c>
      <c r="S124">
        <v>108004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8005</v>
      </c>
      <c r="C125" t="s">
        <v>550</v>
      </c>
      <c r="D125" t="s">
        <v>551</v>
      </c>
      <c r="E125" t="s">
        <v>539</v>
      </c>
      <c r="F125" t="s">
        <v>85</v>
      </c>
      <c r="G125" t="s">
        <v>209</v>
      </c>
      <c r="H125" t="s">
        <v>209</v>
      </c>
      <c r="I125" t="s">
        <v>100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552</v>
      </c>
      <c r="P125" t="s">
        <v>553</v>
      </c>
      <c r="S125">
        <v>108005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8007</v>
      </c>
      <c r="C126" t="s">
        <v>554</v>
      </c>
      <c r="D126" t="s">
        <v>555</v>
      </c>
      <c r="E126" t="s">
        <v>539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556</v>
      </c>
      <c r="P126" t="s">
        <v>557</v>
      </c>
      <c r="S126">
        <v>108007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8008</v>
      </c>
      <c r="C127" t="s">
        <v>558</v>
      </c>
      <c r="D127" t="s">
        <v>559</v>
      </c>
      <c r="E127" t="s">
        <v>539</v>
      </c>
      <c r="F127" t="s">
        <v>93</v>
      </c>
      <c r="G127" t="s">
        <v>209</v>
      </c>
      <c r="H127" t="s">
        <v>209</v>
      </c>
      <c r="I127" t="s">
        <v>129</v>
      </c>
      <c r="J127">
        <v>300</v>
      </c>
      <c r="K127" t="b">
        <v>0</v>
      </c>
      <c r="L127" t="s">
        <v>95</v>
      </c>
      <c r="M127">
        <v>0</v>
      </c>
      <c r="N127" s="28" t="s">
        <v>209</v>
      </c>
      <c r="O127" t="s">
        <v>560</v>
      </c>
      <c r="P127" t="s">
        <v>561</v>
      </c>
      <c r="S127">
        <v>108008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8009</v>
      </c>
      <c r="C128" t="s">
        <v>562</v>
      </c>
      <c r="D128" t="s">
        <v>563</v>
      </c>
      <c r="E128" t="s">
        <v>539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564</v>
      </c>
      <c r="P128" t="s">
        <v>565</v>
      </c>
      <c r="S128">
        <v>108009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8010</v>
      </c>
      <c r="C129" t="s">
        <v>566</v>
      </c>
      <c r="D129" t="s">
        <v>567</v>
      </c>
      <c r="E129" t="s">
        <v>539</v>
      </c>
      <c r="F129" t="s">
        <v>93</v>
      </c>
      <c r="I129" t="s">
        <v>100</v>
      </c>
      <c r="J129">
        <v>300</v>
      </c>
      <c r="K129" t="b">
        <v>0</v>
      </c>
      <c r="L129" t="s">
        <v>95</v>
      </c>
      <c r="M129">
        <v>0</v>
      </c>
      <c r="O129" t="s">
        <v>568</v>
      </c>
      <c r="P129" t="s">
        <v>569</v>
      </c>
      <c r="S129">
        <v>108010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B130">
        <v>8011</v>
      </c>
      <c r="C130" t="s">
        <v>570</v>
      </c>
      <c r="D130" t="s">
        <v>571</v>
      </c>
      <c r="E130" t="s">
        <v>539</v>
      </c>
      <c r="F130" t="s">
        <v>93</v>
      </c>
      <c r="I130" t="s">
        <v>129</v>
      </c>
      <c r="J130">
        <v>300</v>
      </c>
      <c r="K130" t="b">
        <v>0</v>
      </c>
      <c r="L130" t="s">
        <v>95</v>
      </c>
      <c r="M130">
        <v>0</v>
      </c>
      <c r="O130" t="s">
        <v>572</v>
      </c>
      <c r="P130" t="s">
        <v>573</v>
      </c>
      <c r="S130">
        <v>108011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</row>
    <row r="131" spans="1:30">
      <c r="A131" t="s">
        <v>209</v>
      </c>
      <c r="B131">
        <v>8012</v>
      </c>
      <c r="C131" t="s">
        <v>574</v>
      </c>
      <c r="D131" t="s">
        <v>575</v>
      </c>
      <c r="E131" t="s">
        <v>539</v>
      </c>
      <c r="F131" t="s">
        <v>85</v>
      </c>
      <c r="G131" t="s">
        <v>209</v>
      </c>
      <c r="H131" t="s">
        <v>209</v>
      </c>
      <c r="I131" t="s">
        <v>94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576</v>
      </c>
      <c r="P131" t="s">
        <v>577</v>
      </c>
      <c r="Q131" t="s">
        <v>209</v>
      </c>
      <c r="R131" s="28" t="s">
        <v>209</v>
      </c>
      <c r="S131">
        <v>108012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A132" t="s">
        <v>209</v>
      </c>
      <c r="B132">
        <v>8013</v>
      </c>
      <c r="C132" t="s">
        <v>578</v>
      </c>
      <c r="D132" t="s">
        <v>579</v>
      </c>
      <c r="E132" t="s">
        <v>539</v>
      </c>
      <c r="F132" t="s">
        <v>93</v>
      </c>
      <c r="G132" t="s">
        <v>209</v>
      </c>
      <c r="H132" t="s">
        <v>209</v>
      </c>
      <c r="I132" t="s">
        <v>129</v>
      </c>
      <c r="J132">
        <v>300</v>
      </c>
      <c r="K132" t="b">
        <v>0</v>
      </c>
      <c r="L132" t="s">
        <v>95</v>
      </c>
      <c r="M132">
        <v>0</v>
      </c>
      <c r="N132" s="28" t="s">
        <v>209</v>
      </c>
      <c r="O132" t="s">
        <v>580</v>
      </c>
      <c r="P132" t="s">
        <v>581</v>
      </c>
      <c r="Q132" t="s">
        <v>209</v>
      </c>
      <c r="R132" s="28" t="s">
        <v>209</v>
      </c>
      <c r="S132">
        <v>108013</v>
      </c>
      <c r="T132" t="s">
        <v>90</v>
      </c>
      <c r="V132" t="b">
        <v>1</v>
      </c>
      <c r="W132" t="b">
        <v>0</v>
      </c>
      <c r="X132" t="b">
        <v>0</v>
      </c>
      <c r="Y132" t="b">
        <v>0</v>
      </c>
      <c r="Z132" t="b">
        <v>0</v>
      </c>
      <c r="AA132" t="s">
        <v>209</v>
      </c>
      <c r="AB132" t="s">
        <v>209</v>
      </c>
      <c r="AC132" t="s">
        <v>209</v>
      </c>
      <c r="AD132" t="s">
        <v>209</v>
      </c>
    </row>
    <row r="133" spans="1:30">
      <c r="B133">
        <v>9001</v>
      </c>
      <c r="C133" t="s">
        <v>582</v>
      </c>
      <c r="D133" t="s">
        <v>583</v>
      </c>
      <c r="E133" t="s">
        <v>584</v>
      </c>
      <c r="F133" t="s">
        <v>85</v>
      </c>
      <c r="I133" t="s">
        <v>109</v>
      </c>
      <c r="J133">
        <v>200</v>
      </c>
      <c r="K133" t="b">
        <v>0</v>
      </c>
      <c r="L133" t="s">
        <v>585</v>
      </c>
      <c r="M133">
        <v>0</v>
      </c>
      <c r="O133" t="s">
        <v>586</v>
      </c>
      <c r="P133" t="s">
        <v>587</v>
      </c>
      <c r="S133">
        <v>109001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9002</v>
      </c>
      <c r="C134" t="s">
        <v>588</v>
      </c>
      <c r="D134" t="s">
        <v>589</v>
      </c>
      <c r="E134" t="s">
        <v>584</v>
      </c>
      <c r="F134" t="s">
        <v>93</v>
      </c>
      <c r="G134" t="s">
        <v>590</v>
      </c>
      <c r="H134">
        <v>9009</v>
      </c>
      <c r="I134" t="s">
        <v>94</v>
      </c>
      <c r="J134">
        <v>200</v>
      </c>
      <c r="K134" t="b">
        <v>0</v>
      </c>
      <c r="L134" t="s">
        <v>585</v>
      </c>
      <c r="M134">
        <v>0</v>
      </c>
      <c r="O134" t="s">
        <v>591</v>
      </c>
      <c r="P134" t="s">
        <v>592</v>
      </c>
      <c r="R134" s="28" t="s">
        <v>593</v>
      </c>
      <c r="S134">
        <v>109002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9003</v>
      </c>
      <c r="C135" t="s">
        <v>594</v>
      </c>
      <c r="D135" t="s">
        <v>595</v>
      </c>
      <c r="E135" t="s">
        <v>584</v>
      </c>
      <c r="F135" t="s">
        <v>93</v>
      </c>
      <c r="G135" t="s">
        <v>590</v>
      </c>
      <c r="H135">
        <v>9009</v>
      </c>
      <c r="I135" t="s">
        <v>94</v>
      </c>
      <c r="J135">
        <v>200</v>
      </c>
      <c r="K135" t="b">
        <v>0</v>
      </c>
      <c r="L135" t="s">
        <v>585</v>
      </c>
      <c r="M135">
        <v>0</v>
      </c>
      <c r="O135" t="s">
        <v>596</v>
      </c>
      <c r="P135" t="s">
        <v>597</v>
      </c>
      <c r="R135" s="28" t="s">
        <v>593</v>
      </c>
      <c r="S135">
        <v>109003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9004</v>
      </c>
      <c r="C136" t="s">
        <v>598</v>
      </c>
      <c r="D136" t="s">
        <v>599</v>
      </c>
      <c r="E136" t="s">
        <v>584</v>
      </c>
      <c r="F136" t="s">
        <v>85</v>
      </c>
      <c r="G136" t="s">
        <v>590</v>
      </c>
      <c r="H136">
        <v>9009</v>
      </c>
      <c r="I136" t="s">
        <v>109</v>
      </c>
      <c r="J136">
        <v>200</v>
      </c>
      <c r="K136" t="b">
        <v>0</v>
      </c>
      <c r="L136" t="s">
        <v>585</v>
      </c>
      <c r="M136">
        <v>0</v>
      </c>
      <c r="O136" t="s">
        <v>600</v>
      </c>
      <c r="P136" t="s">
        <v>601</v>
      </c>
      <c r="R136" s="28" t="s">
        <v>593</v>
      </c>
      <c r="S136">
        <v>109004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9005</v>
      </c>
      <c r="C137" t="s">
        <v>602</v>
      </c>
      <c r="D137" t="s">
        <v>603</v>
      </c>
      <c r="E137" t="s">
        <v>584</v>
      </c>
      <c r="F137" t="s">
        <v>93</v>
      </c>
      <c r="G137" t="s">
        <v>590</v>
      </c>
      <c r="H137">
        <v>9009</v>
      </c>
      <c r="I137" t="s">
        <v>94</v>
      </c>
      <c r="J137">
        <v>200</v>
      </c>
      <c r="K137" t="b">
        <v>0</v>
      </c>
      <c r="L137" t="s">
        <v>585</v>
      </c>
      <c r="M137">
        <v>0</v>
      </c>
      <c r="O137" t="s">
        <v>604</v>
      </c>
      <c r="P137" t="s">
        <v>605</v>
      </c>
      <c r="R137" s="28" t="s">
        <v>593</v>
      </c>
      <c r="S137">
        <v>109005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9006</v>
      </c>
      <c r="C138" t="s">
        <v>606</v>
      </c>
      <c r="D138" t="s">
        <v>607</v>
      </c>
      <c r="E138" t="s">
        <v>584</v>
      </c>
      <c r="F138" t="s">
        <v>93</v>
      </c>
      <c r="G138" t="s">
        <v>590</v>
      </c>
      <c r="H138">
        <v>9009</v>
      </c>
      <c r="I138" t="s">
        <v>94</v>
      </c>
      <c r="J138">
        <v>200</v>
      </c>
      <c r="K138" t="b">
        <v>0</v>
      </c>
      <c r="L138" t="s">
        <v>585</v>
      </c>
      <c r="M138">
        <v>0</v>
      </c>
      <c r="O138" t="s">
        <v>608</v>
      </c>
      <c r="P138" t="s">
        <v>609</v>
      </c>
      <c r="R138" s="28" t="s">
        <v>593</v>
      </c>
      <c r="S138">
        <v>109006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9007</v>
      </c>
      <c r="C139" t="s">
        <v>610</v>
      </c>
      <c r="D139" t="s">
        <v>611</v>
      </c>
      <c r="E139" t="s">
        <v>584</v>
      </c>
      <c r="F139" t="s">
        <v>93</v>
      </c>
      <c r="G139" t="s">
        <v>590</v>
      </c>
      <c r="H139">
        <v>9009</v>
      </c>
      <c r="I139" t="s">
        <v>94</v>
      </c>
      <c r="J139">
        <v>200</v>
      </c>
      <c r="K139" t="b">
        <v>0</v>
      </c>
      <c r="L139" t="s">
        <v>585</v>
      </c>
      <c r="M139">
        <v>0</v>
      </c>
      <c r="O139" t="s">
        <v>612</v>
      </c>
      <c r="P139" t="s">
        <v>613</v>
      </c>
      <c r="R139" s="28" t="s">
        <v>593</v>
      </c>
      <c r="S139">
        <v>109007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9008</v>
      </c>
      <c r="C140" t="s">
        <v>614</v>
      </c>
      <c r="D140" t="s">
        <v>615</v>
      </c>
      <c r="E140" t="s">
        <v>584</v>
      </c>
      <c r="F140" t="s">
        <v>93</v>
      </c>
      <c r="G140" t="s">
        <v>590</v>
      </c>
      <c r="H140">
        <v>9009</v>
      </c>
      <c r="I140" t="s">
        <v>109</v>
      </c>
      <c r="J140">
        <v>200</v>
      </c>
      <c r="K140" t="b">
        <v>0</v>
      </c>
      <c r="L140" t="s">
        <v>585</v>
      </c>
      <c r="M140">
        <v>0</v>
      </c>
      <c r="O140" t="s">
        <v>616</v>
      </c>
      <c r="P140" t="s">
        <v>617</v>
      </c>
      <c r="R140" s="28" t="s">
        <v>593</v>
      </c>
      <c r="S140">
        <v>109008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9009</v>
      </c>
      <c r="C141" t="s">
        <v>618</v>
      </c>
      <c r="D141" t="s">
        <v>619</v>
      </c>
      <c r="E141" t="s">
        <v>584</v>
      </c>
      <c r="F141" t="s">
        <v>85</v>
      </c>
      <c r="I141" t="s">
        <v>100</v>
      </c>
      <c r="J141">
        <v>200</v>
      </c>
      <c r="K141" t="b">
        <v>0</v>
      </c>
      <c r="L141" t="s">
        <v>585</v>
      </c>
      <c r="M141">
        <v>0</v>
      </c>
      <c r="O141" t="s">
        <v>620</v>
      </c>
      <c r="P141" t="s">
        <v>621</v>
      </c>
      <c r="R141" s="28" t="s">
        <v>593</v>
      </c>
      <c r="S141">
        <v>109009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9010</v>
      </c>
      <c r="C142" t="s">
        <v>622</v>
      </c>
      <c r="D142" t="s">
        <v>623</v>
      </c>
      <c r="E142" t="s">
        <v>584</v>
      </c>
      <c r="F142" t="s">
        <v>93</v>
      </c>
      <c r="G142" t="s">
        <v>590</v>
      </c>
      <c r="H142">
        <v>9009</v>
      </c>
      <c r="I142" t="s">
        <v>113</v>
      </c>
      <c r="J142">
        <v>200</v>
      </c>
      <c r="K142" t="b">
        <v>0</v>
      </c>
      <c r="L142" t="s">
        <v>585</v>
      </c>
      <c r="M142">
        <v>0</v>
      </c>
      <c r="O142" t="s">
        <v>624</v>
      </c>
      <c r="P142" t="s">
        <v>625</v>
      </c>
      <c r="S142">
        <v>109010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pans="1:30">
      <c r="B143">
        <v>9011</v>
      </c>
      <c r="C143" t="s">
        <v>626</v>
      </c>
      <c r="D143" t="s">
        <v>627</v>
      </c>
      <c r="E143" t="s">
        <v>584</v>
      </c>
      <c r="F143" t="s">
        <v>93</v>
      </c>
      <c r="G143" t="s">
        <v>590</v>
      </c>
      <c r="H143">
        <v>9009</v>
      </c>
      <c r="I143" t="s">
        <v>113</v>
      </c>
      <c r="J143">
        <v>200</v>
      </c>
      <c r="K143" t="b">
        <v>0</v>
      </c>
      <c r="L143" t="s">
        <v>585</v>
      </c>
      <c r="M143">
        <v>0</v>
      </c>
      <c r="O143" t="s">
        <v>628</v>
      </c>
      <c r="P143" t="s">
        <v>629</v>
      </c>
      <c r="R143" s="28" t="s">
        <v>593</v>
      </c>
      <c r="S143">
        <v>109011</v>
      </c>
      <c r="T143" t="s">
        <v>90</v>
      </c>
      <c r="V143" t="b">
        <v>1</v>
      </c>
      <c r="W143" t="b">
        <v>0</v>
      </c>
      <c r="X143" t="b">
        <v>0</v>
      </c>
      <c r="Y143" t="b">
        <v>1</v>
      </c>
      <c r="Z143" t="b">
        <v>0</v>
      </c>
    </row>
    <row r="144" s="27" customFormat="1" spans="1:30">
      <c r="B144" s="27">
        <v>10001</v>
      </c>
      <c r="C144" s="27" t="s">
        <v>630</v>
      </c>
      <c r="D144" s="27" t="s">
        <v>631</v>
      </c>
      <c r="E144" s="27" t="s">
        <v>632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633</v>
      </c>
      <c r="P144" s="27" t="s">
        <v>634</v>
      </c>
      <c r="S144" s="27">
        <v>110001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11001</v>
      </c>
      <c r="C145" s="27" t="s">
        <v>635</v>
      </c>
      <c r="D145" s="27" t="s">
        <v>636</v>
      </c>
      <c r="E145" s="27" t="s">
        <v>637</v>
      </c>
      <c r="F145" s="27" t="s">
        <v>85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638</v>
      </c>
      <c r="P145" s="27" t="s">
        <v>639</v>
      </c>
      <c r="R145" s="27" t="s">
        <v>640</v>
      </c>
      <c r="S145" s="27">
        <v>111001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="27" customFormat="1" spans="1:26">
      <c r="B146" s="27">
        <v>11002</v>
      </c>
      <c r="C146" s="27" t="s">
        <v>641</v>
      </c>
      <c r="D146" s="27" t="s">
        <v>642</v>
      </c>
      <c r="E146" s="27" t="s">
        <v>637</v>
      </c>
      <c r="F146" s="27" t="s">
        <v>85</v>
      </c>
      <c r="H146" s="27">
        <v>11001</v>
      </c>
      <c r="I146" s="27" t="s">
        <v>86</v>
      </c>
      <c r="J146" s="27">
        <v>300</v>
      </c>
      <c r="K146" s="27" t="b">
        <v>1</v>
      </c>
      <c r="L146" s="27" t="s">
        <v>87</v>
      </c>
      <c r="M146" s="27">
        <v>0</v>
      </c>
      <c r="O146" s="27" t="s">
        <v>638</v>
      </c>
      <c r="P146" s="27" t="s">
        <v>643</v>
      </c>
      <c r="S146" s="27">
        <v>111002</v>
      </c>
      <c r="T146" s="27" t="s">
        <v>90</v>
      </c>
      <c r="U146" s="27"/>
      <c r="V146" s="27" t="b">
        <v>1</v>
      </c>
      <c r="W146" s="27" t="b">
        <v>0</v>
      </c>
      <c r="X146" s="27" t="b">
        <v>0</v>
      </c>
      <c r="Y146" s="27" t="b">
        <v>0</v>
      </c>
      <c r="Z146" s="27" t="b">
        <v>0</v>
      </c>
    </row>
    <row r="147" spans="1:26">
      <c r="B147">
        <v>12001</v>
      </c>
      <c r="C147" t="s">
        <v>644</v>
      </c>
      <c r="D147" t="s">
        <v>645</v>
      </c>
      <c r="E147" t="s">
        <v>646</v>
      </c>
      <c r="F147" t="s">
        <v>93</v>
      </c>
      <c r="G147" t="s">
        <v>209</v>
      </c>
      <c r="H147" t="s">
        <v>209</v>
      </c>
      <c r="I147" s="20" t="s">
        <v>94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647</v>
      </c>
      <c r="P147" t="s">
        <v>648</v>
      </c>
      <c r="S147">
        <v>112001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spans="1:26">
      <c r="B148">
        <v>12002</v>
      </c>
      <c r="C148" t="s">
        <v>649</v>
      </c>
      <c r="D148" t="s">
        <v>650</v>
      </c>
      <c r="E148" t="s">
        <v>646</v>
      </c>
      <c r="F148" t="s">
        <v>85</v>
      </c>
      <c r="G148" t="s">
        <v>209</v>
      </c>
      <c r="H148" t="s">
        <v>209</v>
      </c>
      <c r="I148" s="20" t="s">
        <v>100</v>
      </c>
      <c r="J148">
        <v>300</v>
      </c>
      <c r="K148" t="b">
        <v>0</v>
      </c>
      <c r="L148" t="s">
        <v>95</v>
      </c>
      <c r="M148">
        <v>0</v>
      </c>
      <c r="N148" s="28" t="s">
        <v>209</v>
      </c>
      <c r="O148" t="s">
        <v>651</v>
      </c>
      <c r="P148" t="s">
        <v>652</v>
      </c>
      <c r="S148">
        <v>112002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51001</v>
      </c>
      <c r="C149" t="s">
        <v>653</v>
      </c>
      <c r="D149" t="s">
        <v>99</v>
      </c>
      <c r="E149" t="s">
        <v>84</v>
      </c>
      <c r="F149" t="s">
        <v>93</v>
      </c>
      <c r="I149" s="20" t="s">
        <v>345</v>
      </c>
      <c r="J149">
        <v>200</v>
      </c>
      <c r="K149" t="b">
        <v>0</v>
      </c>
      <c r="L149" t="s">
        <v>346</v>
      </c>
      <c r="M149">
        <v>0</v>
      </c>
      <c r="N149" s="28"/>
      <c r="O149" s="3" t="s">
        <v>101</v>
      </c>
      <c r="P149" s="3" t="s">
        <v>102</v>
      </c>
      <c r="Q149">
        <v>1003</v>
      </c>
      <c r="R149" s="28" t="s">
        <v>654</v>
      </c>
      <c r="S149">
        <v>151001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customFormat="1" spans="1:26">
      <c r="B150">
        <v>52001</v>
      </c>
      <c r="C150" t="s">
        <v>655</v>
      </c>
      <c r="D150" t="s">
        <v>656</v>
      </c>
      <c r="E150" t="s">
        <v>212</v>
      </c>
      <c r="F150" t="s">
        <v>93</v>
      </c>
      <c r="I150" s="20" t="s">
        <v>345</v>
      </c>
      <c r="J150">
        <v>100</v>
      </c>
      <c r="K150" t="b">
        <v>0</v>
      </c>
      <c r="L150" t="s">
        <v>346</v>
      </c>
      <c r="M150">
        <v>0</v>
      </c>
      <c r="N150" s="28"/>
      <c r="O150" t="s">
        <v>229</v>
      </c>
      <c r="P150" t="s">
        <v>230</v>
      </c>
      <c r="R150" s="28" t="s">
        <v>657</v>
      </c>
      <c r="S150">
        <v>152001</v>
      </c>
      <c r="T150" t="s">
        <v>90</v>
      </c>
      <c r="V150" t="b">
        <v>1</v>
      </c>
      <c r="W150" t="b">
        <v>0</v>
      </c>
      <c r="X150" t="b">
        <v>0</v>
      </c>
      <c r="Y150" t="b">
        <v>0</v>
      </c>
      <c r="Z150" t="b">
        <v>0</v>
      </c>
    </row>
    <row r="151" s="9" customFormat="1" spans="1:26">
      <c r="A151" s="9" t="s">
        <v>39</v>
      </c>
      <c r="B151" s="9" t="s">
        <v>658</v>
      </c>
      <c r="C151" s="9" t="s">
        <v>659</v>
      </c>
      <c r="D151" s="9" t="s">
        <v>660</v>
      </c>
      <c r="E151" s="9" t="s">
        <v>352</v>
      </c>
      <c r="F151" s="9" t="s">
        <v>93</v>
      </c>
      <c r="I151" s="31" t="s">
        <v>345</v>
      </c>
      <c r="J151" s="9">
        <v>0</v>
      </c>
      <c r="K151" s="9" t="b">
        <v>1</v>
      </c>
      <c r="L151" s="9" t="s">
        <v>353</v>
      </c>
      <c r="M151" s="9">
        <v>0</v>
      </c>
      <c r="O151" s="9" t="s">
        <v>661</v>
      </c>
      <c r="P151" s="9" t="s">
        <v>662</v>
      </c>
      <c r="S151" s="9">
        <v>153001</v>
      </c>
      <c r="T151" s="9" t="s">
        <v>90</v>
      </c>
      <c r="V151" s="9" t="b">
        <v>1</v>
      </c>
      <c r="W151" s="9" t="b">
        <v>0</v>
      </c>
      <c r="X151" s="9" t="b">
        <v>0</v>
      </c>
      <c r="Y151" s="9" t="b">
        <v>0</v>
      </c>
      <c r="Z151" s="9" t="b">
        <v>1</v>
      </c>
    </row>
    <row r="152" customFormat="1" spans="1:26">
      <c r="B152">
        <v>92005</v>
      </c>
      <c r="C152" t="s">
        <v>663</v>
      </c>
      <c r="D152" t="s">
        <v>664</v>
      </c>
      <c r="E152" t="s">
        <v>212</v>
      </c>
      <c r="F152" t="s">
        <v>93</v>
      </c>
      <c r="I152" t="s">
        <v>345</v>
      </c>
      <c r="J152">
        <v>100</v>
      </c>
      <c r="K152" t="b">
        <v>0</v>
      </c>
      <c r="L152" t="s">
        <v>346</v>
      </c>
      <c r="M152">
        <v>0</v>
      </c>
      <c r="N152" s="28"/>
      <c r="O152" t="s">
        <v>229</v>
      </c>
      <c r="P152" t="s">
        <v>230</v>
      </c>
      <c r="R152" s="28" t="s">
        <v>665</v>
      </c>
      <c r="S152">
        <v>192005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  <row r="153" customFormat="1" spans="1:26">
      <c r="B153">
        <v>91012</v>
      </c>
      <c r="C153" t="s">
        <v>666</v>
      </c>
      <c r="D153" t="s">
        <v>132</v>
      </c>
      <c r="E153" t="s">
        <v>84</v>
      </c>
      <c r="F153" t="s">
        <v>93</v>
      </c>
      <c r="I153" t="s">
        <v>345</v>
      </c>
      <c r="J153">
        <v>100</v>
      </c>
      <c r="K153" t="b">
        <v>0</v>
      </c>
      <c r="L153" t="s">
        <v>346</v>
      </c>
      <c r="M153">
        <v>0</v>
      </c>
      <c r="N153" s="28"/>
      <c r="O153" s="3" t="s">
        <v>88</v>
      </c>
      <c r="P153" s="3" t="s">
        <v>133</v>
      </c>
      <c r="Q153">
        <v>1012</v>
      </c>
      <c r="R153" s="28" t="s">
        <v>665</v>
      </c>
      <c r="S153">
        <v>191012</v>
      </c>
      <c r="T153" t="s">
        <v>90</v>
      </c>
      <c r="V153" t="b">
        <v>1</v>
      </c>
      <c r="W153" t="b">
        <v>0</v>
      </c>
      <c r="X153" t="b">
        <v>0</v>
      </c>
      <c r="Y153" t="b">
        <v>0</v>
      </c>
      <c r="Z153" t="b">
        <v>0</v>
      </c>
    </row>
  </sheetData>
  <conditionalFormatting sqref="I149">
    <cfRule type="cellIs" dxfId="0" priority="3" operator="equal">
      <formula>"普通"</formula>
    </cfRule>
    <cfRule type="cellIs" dxfId="1" priority="4" operator="equal">
      <formula>"神话"</formula>
    </cfRule>
    <cfRule type="cellIs" dxfId="2" priority="5" operator="equal">
      <formula>"优秀"</formula>
    </cfRule>
    <cfRule type="cellIs" dxfId="3" priority="6" operator="equal">
      <formula>"稀有"</formula>
    </cfRule>
    <cfRule type="cellIs" dxfId="4" priority="7" operator="equal">
      <formula>"史诗"</formula>
    </cfRule>
    <cfRule type="cellIs" dxfId="5" priority="8" operator="equal">
      <formula>"传说"</formula>
    </cfRule>
  </conditionalFormatting>
  <conditionalFormatting sqref="L149">
    <cfRule type="cellIs" dxfId="6" priority="9" operator="equal">
      <formula>"初始拥有"</formula>
    </cfRule>
  </conditionalFormatting>
  <conditionalFormatting sqref="I$1:I$1048576">
    <cfRule type="cellIs" dxfId="7" priority="1" operator="equal">
      <formula>"特殊1"</formula>
    </cfRule>
  </conditionalFormatting>
  <conditionalFormatting sqref="Z$1:Z$1048576">
    <cfRule type="containsText" dxfId="8" priority="2" operator="between" text="TRUE">
      <formula>NOT(ISERROR(SEARCH("TRUE",Z1)))</formula>
    </cfRule>
  </conditionalFormatting>
  <conditionalFormatting sqref="I1:I148 I150:I1048576">
    <cfRule type="cellIs" dxfId="0" priority="17" operator="equal">
      <formula>"普通"</formula>
    </cfRule>
    <cfRule type="cellIs" dxfId="1" priority="18" operator="equal">
      <formula>"神话"</formula>
    </cfRule>
    <cfRule type="cellIs" dxfId="2" priority="19" operator="equal">
      <formula>"优秀"</formula>
    </cfRule>
    <cfRule type="cellIs" dxfId="3" priority="20" operator="equal">
      <formula>"稀有"</formula>
    </cfRule>
    <cfRule type="cellIs" dxfId="4" priority="21" operator="equal">
      <formula>"史诗"</formula>
    </cfRule>
    <cfRule type="cellIs" dxfId="5" priority="22" operator="equal">
      <formula>"传说"</formula>
    </cfRule>
  </conditionalFormatting>
  <conditionalFormatting sqref="L1:L148 L150:L1048576">
    <cfRule type="cellIs" dxfId="6" priority="16" operator="equal">
      <formula>"初始拥有"</formula>
    </cfRule>
  </conditionalFormatting>
  <dataValidations count="2">
    <dataValidation type="list" allowBlank="1" showInputMessage="1" showErrorMessage="1" sqref="I5:I41 I43:I52 I55:I120 I122:I129 I133:I153">
      <formula1>表说明!$F$2:$F$9</formula1>
    </dataValidation>
    <dataValidation type="list" allowBlank="1" showInputMessage="1" showErrorMessage="1" sqref="L5:L41 L43:L52 L55:L120 L122:L130 L133:L153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667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668</v>
      </c>
      <c r="E2" t="s">
        <v>669</v>
      </c>
      <c r="F2" t="s">
        <v>129</v>
      </c>
      <c r="G2" s="16"/>
      <c r="H2" s="16" t="s">
        <v>670</v>
      </c>
      <c r="I2" s="16" t="s">
        <v>359</v>
      </c>
      <c r="J2" s="16">
        <v>1</v>
      </c>
      <c r="K2" s="16" t="s">
        <v>671</v>
      </c>
      <c r="O2" s="16" t="s">
        <v>672</v>
      </c>
      <c r="P2" s="16" t="s">
        <v>673</v>
      </c>
    </row>
    <row r="3" spans="1:21">
      <c r="B3" s="16" t="s">
        <v>212</v>
      </c>
      <c r="C3" s="16" t="s">
        <v>674</v>
      </c>
      <c r="E3" s="16" t="s">
        <v>675</v>
      </c>
      <c r="F3" s="16" t="s">
        <v>113</v>
      </c>
      <c r="G3" s="16"/>
      <c r="H3" s="16" t="s">
        <v>676</v>
      </c>
      <c r="I3" s="16" t="s">
        <v>677</v>
      </c>
      <c r="J3" s="16">
        <v>2</v>
      </c>
      <c r="K3" s="16" t="s">
        <v>678</v>
      </c>
      <c r="O3" s="16" t="s">
        <v>679</v>
      </c>
      <c r="P3" s="16" t="s">
        <v>680</v>
      </c>
    </row>
    <row r="4" spans="1:21">
      <c r="B4" s="16" t="s">
        <v>352</v>
      </c>
      <c r="C4" s="16" t="s">
        <v>681</v>
      </c>
      <c r="E4" s="16" t="s">
        <v>682</v>
      </c>
      <c r="F4" s="16" t="s">
        <v>109</v>
      </c>
      <c r="G4" s="16"/>
      <c r="H4" s="16" t="s">
        <v>683</v>
      </c>
      <c r="I4" s="16" t="s">
        <v>684</v>
      </c>
      <c r="J4" s="16">
        <v>4</v>
      </c>
      <c r="K4" s="16" t="s">
        <v>685</v>
      </c>
      <c r="O4" s="16" t="s">
        <v>686</v>
      </c>
      <c r="P4" s="16" t="s">
        <v>687</v>
      </c>
    </row>
    <row r="5" spans="1:21">
      <c r="B5" s="16" t="s">
        <v>358</v>
      </c>
      <c r="C5" s="16" t="s">
        <v>688</v>
      </c>
      <c r="E5" s="16" t="s">
        <v>689</v>
      </c>
      <c r="F5" s="16" t="s">
        <v>94</v>
      </c>
      <c r="G5" s="16"/>
      <c r="H5" s="16" t="s">
        <v>690</v>
      </c>
      <c r="I5" s="16" t="s">
        <v>691</v>
      </c>
      <c r="J5" s="16">
        <v>8</v>
      </c>
      <c r="K5" s="16" t="s">
        <v>692</v>
      </c>
      <c r="O5" s="16" t="s">
        <v>693</v>
      </c>
      <c r="P5" s="16" t="s">
        <v>694</v>
      </c>
    </row>
    <row r="6" spans="1:21">
      <c r="B6" s="16" t="s">
        <v>384</v>
      </c>
      <c r="C6" s="16" t="s">
        <v>695</v>
      </c>
      <c r="E6" t="s">
        <v>696</v>
      </c>
      <c r="F6" t="s">
        <v>100</v>
      </c>
      <c r="G6" s="16"/>
      <c r="H6" s="16" t="s">
        <v>697</v>
      </c>
      <c r="I6" s="16" t="s">
        <v>698</v>
      </c>
      <c r="J6" s="16">
        <v>16</v>
      </c>
      <c r="K6" s="16" t="s">
        <v>699</v>
      </c>
      <c r="O6" s="16" t="s">
        <v>700</v>
      </c>
      <c r="P6" s="16" t="s">
        <v>701</v>
      </c>
    </row>
    <row r="7" spans="1:21">
      <c r="B7" s="16" t="s">
        <v>417</v>
      </c>
      <c r="C7" s="16" t="s">
        <v>702</v>
      </c>
      <c r="E7" s="16" t="s">
        <v>703</v>
      </c>
      <c r="F7" s="16" t="s">
        <v>86</v>
      </c>
      <c r="G7" s="16"/>
      <c r="H7" s="16" t="s">
        <v>704</v>
      </c>
      <c r="I7" s="16" t="s">
        <v>705</v>
      </c>
      <c r="J7" s="16">
        <v>32</v>
      </c>
      <c r="K7" s="16" t="s">
        <v>706</v>
      </c>
      <c r="O7" s="16" t="s">
        <v>707</v>
      </c>
      <c r="P7" s="16" t="s">
        <v>708</v>
      </c>
    </row>
    <row r="8" spans="1:21">
      <c r="B8" s="16" t="s">
        <v>462</v>
      </c>
      <c r="C8" s="16" t="s">
        <v>709</v>
      </c>
      <c r="E8" s="16" t="s">
        <v>710</v>
      </c>
      <c r="F8" s="16" t="s">
        <v>345</v>
      </c>
      <c r="H8" s="16" t="s">
        <v>711</v>
      </c>
      <c r="I8" s="16" t="s">
        <v>712</v>
      </c>
      <c r="J8" s="16">
        <v>64</v>
      </c>
      <c r="K8" s="16" t="s">
        <v>713</v>
      </c>
      <c r="O8" s="16" t="s">
        <v>714</v>
      </c>
      <c r="P8" s="16" t="s">
        <v>715</v>
      </c>
    </row>
    <row r="9" spans="1:21">
      <c r="B9" s="16" t="s">
        <v>539</v>
      </c>
      <c r="C9" s="16" t="s">
        <v>716</v>
      </c>
      <c r="E9" s="16" t="s">
        <v>717</v>
      </c>
      <c r="F9" s="16" t="s">
        <v>718</v>
      </c>
      <c r="H9" s="16" t="s">
        <v>719</v>
      </c>
      <c r="I9" s="16" t="s">
        <v>720</v>
      </c>
      <c r="J9" s="16">
        <v>128</v>
      </c>
      <c r="K9" s="16" t="s">
        <v>721</v>
      </c>
      <c r="O9" s="16" t="s">
        <v>722</v>
      </c>
      <c r="P9" s="16" t="s">
        <v>723</v>
      </c>
    </row>
    <row r="10" spans="1:21">
      <c r="B10" s="16" t="s">
        <v>584</v>
      </c>
      <c r="C10" s="16" t="s">
        <v>724</v>
      </c>
      <c r="H10" s="16" t="s">
        <v>725</v>
      </c>
      <c r="I10" s="16" t="s">
        <v>726</v>
      </c>
      <c r="J10" s="16">
        <v>256</v>
      </c>
      <c r="K10" s="16" t="s">
        <v>727</v>
      </c>
    </row>
    <row r="11" spans="1:21">
      <c r="B11" s="16" t="s">
        <v>632</v>
      </c>
      <c r="C11" s="16" t="s">
        <v>728</v>
      </c>
      <c r="H11" s="16" t="s">
        <v>729</v>
      </c>
      <c r="I11" s="16" t="s">
        <v>730</v>
      </c>
      <c r="J11" s="16">
        <v>512</v>
      </c>
      <c r="K11" s="16" t="s">
        <v>731</v>
      </c>
    </row>
    <row r="12" spans="1:21">
      <c r="B12" s="16" t="s">
        <v>637</v>
      </c>
      <c r="C12" s="16" t="s">
        <v>732</v>
      </c>
      <c r="H12" s="16" t="s">
        <v>733</v>
      </c>
      <c r="I12" s="16" t="s">
        <v>734</v>
      </c>
      <c r="J12" s="16">
        <v>1024</v>
      </c>
      <c r="K12" s="16" t="s">
        <v>735</v>
      </c>
    </row>
    <row r="13" spans="1:21">
      <c r="B13" s="16" t="s">
        <v>646</v>
      </c>
      <c r="C13" s="16" t="s">
        <v>736</v>
      </c>
      <c r="H13" s="16" t="s">
        <v>737</v>
      </c>
      <c r="I13" s="16" t="s">
        <v>738</v>
      </c>
      <c r="J13" s="16">
        <v>2048</v>
      </c>
      <c r="K13" s="16" t="s">
        <v>739</v>
      </c>
    </row>
    <row r="18" spans="1:21">
      <c r="B18" s="16" t="s">
        <v>740</v>
      </c>
      <c r="C18" s="16" t="s">
        <v>87</v>
      </c>
    </row>
    <row r="19" spans="1:21">
      <c r="B19" s="16" t="s">
        <v>741</v>
      </c>
      <c r="C19" s="16" t="s">
        <v>95</v>
      </c>
    </row>
    <row r="20" spans="1:21">
      <c r="B20" s="16" t="s">
        <v>742</v>
      </c>
      <c r="C20" s="16" t="s">
        <v>585</v>
      </c>
    </row>
    <row r="21" spans="1:21">
      <c r="B21" s="16" t="s">
        <v>743</v>
      </c>
      <c r="C21" s="16" t="s">
        <v>346</v>
      </c>
    </row>
    <row r="22" spans="1:21">
      <c r="B22" s="16" t="s">
        <v>744</v>
      </c>
      <c r="C22" s="16" t="s">
        <v>353</v>
      </c>
    </row>
    <row r="23" spans="1:21">
      <c r="B23" s="16" t="s">
        <v>745</v>
      </c>
      <c r="C23" s="16" t="s">
        <v>746</v>
      </c>
    </row>
    <row r="32" spans="1:21">
      <c r="A32" s="22" t="s">
        <v>747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748</v>
      </c>
      <c r="B34" s="5" t="s">
        <v>749</v>
      </c>
    </row>
    <row r="35" s="5" customFormat="1" spans="1:2">
      <c r="A35" s="26" t="s">
        <v>750</v>
      </c>
      <c r="B35" s="5" t="s">
        <v>751</v>
      </c>
    </row>
    <row r="36" s="5" customFormat="1" spans="1:2">
      <c r="A36" s="8" t="s">
        <v>752</v>
      </c>
      <c r="B36" s="5" t="s">
        <v>753</v>
      </c>
    </row>
    <row r="37" s="5" customFormat="1" spans="1:2">
      <c r="A37" s="8"/>
    </row>
    <row r="38" s="5" customFormat="1" spans="1:2">
      <c r="A38" s="26" t="s">
        <v>748</v>
      </c>
      <c r="B38" s="5" t="s">
        <v>754</v>
      </c>
    </row>
    <row r="39" s="5" customFormat="1" spans="1:2">
      <c r="A39" s="26" t="s">
        <v>750</v>
      </c>
      <c r="B39" s="5" t="s">
        <v>755</v>
      </c>
    </row>
    <row r="40" s="5" customFormat="1" spans="1:2">
      <c r="A40" s="26" t="s">
        <v>756</v>
      </c>
      <c r="B40" s="5" t="s">
        <v>757</v>
      </c>
    </row>
    <row r="41" s="5" customFormat="1" spans="1:2">
      <c r="A41" s="26" t="s">
        <v>752</v>
      </c>
      <c r="B41" s="5" t="s">
        <v>758</v>
      </c>
    </row>
    <row r="42" s="5" customFormat="1" spans="1:2">
      <c r="A42" s="8" t="s">
        <v>756</v>
      </c>
      <c r="B42" s="5" t="s">
        <v>759</v>
      </c>
    </row>
    <row r="43" s="5" customFormat="1"/>
    <row r="44" s="5" customFormat="1" spans="1:2">
      <c r="A44" s="26" t="s">
        <v>748</v>
      </c>
      <c r="B44" s="5" t="s">
        <v>760</v>
      </c>
    </row>
    <row r="45" s="5" customFormat="1" spans="1:2">
      <c r="A45" s="26" t="s">
        <v>750</v>
      </c>
      <c r="B45" s="5" t="s">
        <v>761</v>
      </c>
    </row>
    <row r="46" s="5" customFormat="1" spans="1:2">
      <c r="A46" s="8" t="s">
        <v>752</v>
      </c>
      <c r="B46" s="5" t="s">
        <v>762</v>
      </c>
    </row>
    <row r="48" spans="1:2">
      <c r="A48" s="26" t="s">
        <v>748</v>
      </c>
      <c r="B48" s="5" t="s">
        <v>763</v>
      </c>
    </row>
    <row r="49" spans="1:7">
      <c r="A49" s="26"/>
      <c r="B49" s="5"/>
    </row>
    <row r="50" spans="1:7">
      <c r="A50" s="26" t="s">
        <v>748</v>
      </c>
      <c r="B50" s="5" t="s">
        <v>764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748</v>
      </c>
      <c r="B52" s="5" t="s">
        <v>765</v>
      </c>
      <c r="G52" s="5"/>
    </row>
    <row r="53" spans="1:7">
      <c r="A53" s="26" t="s">
        <v>750</v>
      </c>
      <c r="B53" s="5" t="s">
        <v>766</v>
      </c>
      <c r="G53" s="5"/>
    </row>
    <row r="54" spans="1:7">
      <c r="A54" s="8" t="s">
        <v>752</v>
      </c>
      <c r="B54" s="5" t="s">
        <v>767</v>
      </c>
      <c r="G54" s="5"/>
    </row>
    <row r="56" spans="1:7">
      <c r="A56" s="26" t="s">
        <v>748</v>
      </c>
      <c r="B56" s="5" t="s">
        <v>768</v>
      </c>
    </row>
    <row r="57" spans="1:7">
      <c r="A57" s="26" t="s">
        <v>750</v>
      </c>
      <c r="B57" s="5" t="s">
        <v>769</v>
      </c>
      <c r="E57" s="5"/>
      <c r="F57" s="5"/>
    </row>
    <row r="58" spans="1:7">
      <c r="A58" s="8" t="s">
        <v>752</v>
      </c>
      <c r="B58" s="5" t="s">
        <v>770</v>
      </c>
      <c r="C58" s="5"/>
    </row>
    <row r="60" spans="1:7">
      <c r="A60" s="26" t="s">
        <v>748</v>
      </c>
      <c r="B60" s="5" t="s">
        <v>771</v>
      </c>
    </row>
    <row r="61" spans="1:7">
      <c r="A61" s="26" t="s">
        <v>750</v>
      </c>
      <c r="B61" s="5" t="s">
        <v>772</v>
      </c>
    </row>
    <row r="62" spans="1:7">
      <c r="A62" s="8" t="s">
        <v>752</v>
      </c>
      <c r="B62" s="5" t="s">
        <v>773</v>
      </c>
    </row>
    <row r="64" spans="1:7">
      <c r="A64" s="26" t="s">
        <v>748</v>
      </c>
      <c r="B64" s="5" t="s">
        <v>774</v>
      </c>
    </row>
    <row r="65" spans="1:6">
      <c r="A65" s="26" t="s">
        <v>750</v>
      </c>
      <c r="B65" s="5" t="s">
        <v>775</v>
      </c>
    </row>
    <row r="66" spans="1:6">
      <c r="A66" s="26" t="s">
        <v>756</v>
      </c>
      <c r="B66" s="5" t="s">
        <v>776</v>
      </c>
      <c r="C66" s="5"/>
    </row>
    <row r="67" spans="1:6">
      <c r="A67" s="26" t="s">
        <v>756</v>
      </c>
      <c r="B67" s="5" t="s">
        <v>777</v>
      </c>
      <c r="C67" s="5"/>
    </row>
    <row r="68" spans="1:6">
      <c r="A68" s="26" t="s">
        <v>756</v>
      </c>
      <c r="B68" s="5" t="s">
        <v>778</v>
      </c>
      <c r="C68" s="5"/>
    </row>
    <row r="69" spans="1:6">
      <c r="A69" s="26" t="s">
        <v>756</v>
      </c>
      <c r="B69" t="s">
        <v>779</v>
      </c>
    </row>
    <row r="70" spans="1:6">
      <c r="A70" s="26" t="s">
        <v>756</v>
      </c>
      <c r="B70" t="s">
        <v>780</v>
      </c>
    </row>
    <row r="71" spans="1:6">
      <c r="E71" s="5"/>
      <c r="F71" s="5"/>
    </row>
    <row r="72" spans="1:6">
      <c r="A72" s="26" t="s">
        <v>748</v>
      </c>
      <c r="B72" s="5" t="s">
        <v>781</v>
      </c>
    </row>
    <row r="73" spans="1:6">
      <c r="A73" s="26" t="s">
        <v>750</v>
      </c>
      <c r="B73" s="5" t="s">
        <v>782</v>
      </c>
    </row>
    <row r="74" spans="1:6">
      <c r="A74" s="8" t="s">
        <v>752</v>
      </c>
      <c r="B74" s="5" t="s">
        <v>783</v>
      </c>
      <c r="C74" s="5"/>
    </row>
    <row r="76" spans="1:6">
      <c r="A76" s="26" t="s">
        <v>748</v>
      </c>
      <c r="B76" t="s">
        <v>784</v>
      </c>
    </row>
    <row r="77" spans="1:6">
      <c r="A77" s="26" t="s">
        <v>750</v>
      </c>
      <c r="B77" t="s">
        <v>785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H10" sqref="H1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786</v>
      </c>
      <c r="F1" t="s">
        <v>787</v>
      </c>
      <c r="G1" t="s">
        <v>788</v>
      </c>
      <c r="H1" t="s">
        <v>789</v>
      </c>
      <c r="I1" t="s">
        <v>790</v>
      </c>
      <c r="J1" t="s">
        <v>791</v>
      </c>
      <c r="K1" t="s">
        <v>792</v>
      </c>
      <c r="L1" t="s">
        <v>793</v>
      </c>
      <c r="M1" t="s">
        <v>794</v>
      </c>
      <c r="N1" t="s">
        <v>795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796</v>
      </c>
      <c r="F2" t="s">
        <v>797</v>
      </c>
      <c r="G2" t="s">
        <v>798</v>
      </c>
      <c r="H2" t="s">
        <v>29</v>
      </c>
      <c r="I2" t="s">
        <v>799</v>
      </c>
      <c r="J2" t="s">
        <v>29</v>
      </c>
      <c r="K2" t="s">
        <v>800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801</v>
      </c>
      <c r="C3" s="2" t="s">
        <v>802</v>
      </c>
      <c r="E3" s="2" t="s">
        <v>803</v>
      </c>
      <c r="F3" s="2" t="s">
        <v>804</v>
      </c>
      <c r="G3" s="2" t="s">
        <v>805</v>
      </c>
      <c r="H3" s="2" t="s">
        <v>806</v>
      </c>
      <c r="I3" s="2" t="s">
        <v>209</v>
      </c>
      <c r="J3" s="2" t="s">
        <v>807</v>
      </c>
      <c r="K3" s="2" t="s">
        <v>808</v>
      </c>
      <c r="L3" s="2" t="s">
        <v>68</v>
      </c>
      <c r="M3" s="2" t="s">
        <v>809</v>
      </c>
      <c r="N3" s="2" t="s">
        <v>810</v>
      </c>
    </row>
    <row r="4" s="5" customFormat="1" spans="1:14">
      <c r="A4" s="3" t="s">
        <v>39</v>
      </c>
      <c r="B4" s="5" t="s">
        <v>811</v>
      </c>
      <c r="C4" s="5" t="s">
        <v>812</v>
      </c>
      <c r="D4" s="5" t="s">
        <v>60</v>
      </c>
      <c r="E4" s="5" t="s">
        <v>813</v>
      </c>
      <c r="F4" s="5" t="s">
        <v>814</v>
      </c>
      <c r="G4" s="5" t="s">
        <v>815</v>
      </c>
      <c r="H4" s="5" t="s">
        <v>816</v>
      </c>
      <c r="I4" s="5" t="s">
        <v>817</v>
      </c>
      <c r="J4" s="5" t="s">
        <v>818</v>
      </c>
      <c r="K4" s="5" t="s">
        <v>819</v>
      </c>
      <c r="L4" s="5" t="s">
        <v>68</v>
      </c>
      <c r="M4" s="5" t="s">
        <v>820</v>
      </c>
      <c r="N4" s="5" t="s">
        <v>821</v>
      </c>
    </row>
    <row r="5" spans="1:14">
      <c r="B5">
        <v>1001</v>
      </c>
      <c r="C5" t="s">
        <v>822</v>
      </c>
      <c r="D5" t="s">
        <v>93</v>
      </c>
      <c r="E5" s="16" t="s">
        <v>823</v>
      </c>
      <c r="F5" s="16" t="s">
        <v>824</v>
      </c>
      <c r="G5" s="16" t="s">
        <v>825</v>
      </c>
      <c r="H5">
        <v>1000</v>
      </c>
      <c r="I5" t="s">
        <v>826</v>
      </c>
      <c r="J5">
        <v>3</v>
      </c>
      <c r="K5">
        <v>5</v>
      </c>
      <c r="L5" t="s">
        <v>827</v>
      </c>
      <c r="M5" t="b">
        <v>1</v>
      </c>
      <c r="N5" t="b">
        <v>1</v>
      </c>
    </row>
    <row r="6" spans="1:14">
      <c r="B6">
        <v>1002</v>
      </c>
      <c r="C6" t="s">
        <v>828</v>
      </c>
      <c r="D6" t="s">
        <v>93</v>
      </c>
      <c r="E6" s="16" t="s">
        <v>829</v>
      </c>
      <c r="F6" s="16" t="s">
        <v>824</v>
      </c>
      <c r="G6" s="16" t="s">
        <v>825</v>
      </c>
      <c r="H6">
        <v>1000</v>
      </c>
      <c r="I6" t="s">
        <v>826</v>
      </c>
      <c r="J6">
        <v>3</v>
      </c>
      <c r="K6">
        <v>5</v>
      </c>
      <c r="L6" t="s">
        <v>827</v>
      </c>
      <c r="M6" t="b">
        <v>1</v>
      </c>
      <c r="N6" t="b">
        <v>1</v>
      </c>
    </row>
    <row r="7" spans="1:14">
      <c r="B7">
        <v>2001</v>
      </c>
      <c r="C7" t="s">
        <v>830</v>
      </c>
      <c r="D7" t="s">
        <v>93</v>
      </c>
      <c r="E7" s="16" t="s">
        <v>830</v>
      </c>
      <c r="F7" s="16" t="s">
        <v>824</v>
      </c>
      <c r="G7" s="16" t="s">
        <v>825</v>
      </c>
      <c r="H7">
        <v>1000</v>
      </c>
      <c r="I7" t="s">
        <v>826</v>
      </c>
      <c r="J7">
        <v>3</v>
      </c>
      <c r="K7">
        <v>5</v>
      </c>
      <c r="L7" t="s">
        <v>827</v>
      </c>
      <c r="M7" t="b">
        <v>0</v>
      </c>
      <c r="N7" t="b">
        <v>1</v>
      </c>
    </row>
    <row r="8" spans="1:14">
      <c r="B8">
        <v>2002</v>
      </c>
      <c r="C8" t="s">
        <v>831</v>
      </c>
      <c r="D8" t="s">
        <v>832</v>
      </c>
      <c r="E8" s="16" t="s">
        <v>823</v>
      </c>
      <c r="F8" s="16" t="s">
        <v>833</v>
      </c>
      <c r="G8" s="16" t="s">
        <v>825</v>
      </c>
      <c r="H8">
        <v>100</v>
      </c>
      <c r="I8" t="s">
        <v>826</v>
      </c>
      <c r="J8">
        <v>3</v>
      </c>
      <c r="K8">
        <v>5</v>
      </c>
      <c r="L8" t="s">
        <v>827</v>
      </c>
      <c r="M8" t="b">
        <v>0</v>
      </c>
      <c r="N8" t="b">
        <v>1</v>
      </c>
    </row>
    <row r="9" spans="1:14">
      <c r="B9">
        <v>2003</v>
      </c>
      <c r="C9" t="s">
        <v>834</v>
      </c>
      <c r="D9" t="s">
        <v>832</v>
      </c>
      <c r="E9" s="16" t="s">
        <v>823</v>
      </c>
      <c r="F9" s="16" t="s">
        <v>833</v>
      </c>
      <c r="G9" s="16" t="s">
        <v>825</v>
      </c>
      <c r="H9">
        <v>100</v>
      </c>
      <c r="I9" t="s">
        <v>826</v>
      </c>
      <c r="J9">
        <v>3</v>
      </c>
      <c r="K9">
        <v>5</v>
      </c>
      <c r="L9" t="s">
        <v>827</v>
      </c>
      <c r="M9" t="b">
        <v>0</v>
      </c>
      <c r="N9" t="b">
        <v>1</v>
      </c>
    </row>
    <row r="10" spans="1:14">
      <c r="B10">
        <v>3001</v>
      </c>
      <c r="C10" t="s">
        <v>835</v>
      </c>
      <c r="D10" t="s">
        <v>836</v>
      </c>
      <c r="E10" t="s">
        <v>837</v>
      </c>
      <c r="F10" s="16" t="s">
        <v>824</v>
      </c>
      <c r="G10" s="16" t="s">
        <v>838</v>
      </c>
      <c r="H10">
        <v>0</v>
      </c>
      <c r="I10" t="s">
        <v>839</v>
      </c>
      <c r="J10">
        <v>0</v>
      </c>
      <c r="K10">
        <v>5</v>
      </c>
      <c r="L10" t="s">
        <v>827</v>
      </c>
      <c r="M10" t="b">
        <v>1</v>
      </c>
      <c r="N10" s="9" t="b">
        <v>0</v>
      </c>
    </row>
    <row r="11" spans="1:14">
      <c r="B11">
        <v>4001</v>
      </c>
      <c r="C11" t="s">
        <v>840</v>
      </c>
      <c r="E11" s="16" t="s">
        <v>823</v>
      </c>
      <c r="F11" s="16" t="s">
        <v>824</v>
      </c>
      <c r="G11" s="16" t="s">
        <v>825</v>
      </c>
      <c r="H11">
        <v>0</v>
      </c>
      <c r="I11" t="s">
        <v>839</v>
      </c>
      <c r="J11">
        <v>3</v>
      </c>
      <c r="K11">
        <v>5</v>
      </c>
      <c r="L11" t="s">
        <v>841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abSelected="1" topLeftCell="I4" workbookViewId="0">
      <selection activeCell="U20" sqref="U20:U34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842</v>
      </c>
      <c r="D1" t="s">
        <v>843</v>
      </c>
      <c r="E1" t="s">
        <v>844</v>
      </c>
      <c r="F1" t="s">
        <v>845</v>
      </c>
      <c r="G1" t="s">
        <v>846</v>
      </c>
      <c r="H1" t="s">
        <v>847</v>
      </c>
      <c r="I1" t="s">
        <v>848</v>
      </c>
      <c r="J1" t="s">
        <v>849</v>
      </c>
      <c r="N1" t="s">
        <v>850</v>
      </c>
      <c r="O1" t="s">
        <v>795</v>
      </c>
      <c r="P1" t="s">
        <v>851</v>
      </c>
      <c r="Q1" t="s">
        <v>852</v>
      </c>
      <c r="R1" t="s">
        <v>853</v>
      </c>
      <c r="S1" t="s">
        <v>854</v>
      </c>
      <c r="T1" t="s">
        <v>209</v>
      </c>
      <c r="U1" t="s">
        <v>855</v>
      </c>
      <c r="V1" t="s">
        <v>856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857</v>
      </c>
      <c r="D3" s="2" t="s">
        <v>858</v>
      </c>
      <c r="F3" s="2" t="s">
        <v>859</v>
      </c>
      <c r="G3" s="2" t="s">
        <v>846</v>
      </c>
      <c r="H3" s="2" t="s">
        <v>860</v>
      </c>
      <c r="I3" s="2" t="s">
        <v>861</v>
      </c>
      <c r="J3" s="2" t="s">
        <v>862</v>
      </c>
      <c r="K3" s="2" t="s">
        <v>863</v>
      </c>
      <c r="L3" s="2" t="s">
        <v>863</v>
      </c>
      <c r="M3" s="2" t="s">
        <v>864</v>
      </c>
      <c r="N3" s="2" t="s">
        <v>865</v>
      </c>
      <c r="O3" s="2" t="s">
        <v>821</v>
      </c>
      <c r="P3" s="2" t="s">
        <v>866</v>
      </c>
      <c r="Q3" s="2" t="s">
        <v>867</v>
      </c>
      <c r="R3" s="2" t="s">
        <v>868</v>
      </c>
      <c r="S3" s="2" t="s">
        <v>869</v>
      </c>
      <c r="T3" s="2"/>
      <c r="U3" s="2" t="s">
        <v>870</v>
      </c>
      <c r="V3" s="2" t="s">
        <v>871</v>
      </c>
    </row>
    <row r="4" spans="1:22">
      <c r="A4" s="4" t="s">
        <v>39</v>
      </c>
      <c r="B4" t="s">
        <v>872</v>
      </c>
      <c r="C4" t="s">
        <v>873</v>
      </c>
      <c r="D4" t="s">
        <v>874</v>
      </c>
      <c r="F4" t="s">
        <v>811</v>
      </c>
      <c r="G4" t="s">
        <v>875</v>
      </c>
      <c r="H4" t="s">
        <v>876</v>
      </c>
      <c r="I4" t="s">
        <v>877</v>
      </c>
      <c r="J4" t="s">
        <v>878</v>
      </c>
      <c r="K4" t="s">
        <v>879</v>
      </c>
      <c r="L4" t="s">
        <v>880</v>
      </c>
      <c r="M4" s="21">
        <v>10</v>
      </c>
      <c r="N4" t="s">
        <v>881</v>
      </c>
      <c r="O4" t="s">
        <v>821</v>
      </c>
      <c r="P4" t="s">
        <v>882</v>
      </c>
      <c r="Q4" t="s">
        <v>883</v>
      </c>
      <c r="R4" t="s">
        <v>884</v>
      </c>
      <c r="S4" t="s">
        <v>885</v>
      </c>
      <c r="U4" t="s">
        <v>886</v>
      </c>
      <c r="V4" t="s">
        <v>887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832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832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832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832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832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832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832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832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832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832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832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832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832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832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832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7" workbookViewId="0">
      <selection activeCell="E38" sqref="E38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888</v>
      </c>
      <c r="E1" t="s">
        <v>889</v>
      </c>
      <c r="G1" t="s">
        <v>795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890</v>
      </c>
      <c r="C3" s="2" t="s">
        <v>859</v>
      </c>
      <c r="D3" s="2" t="s">
        <v>891</v>
      </c>
      <c r="E3" s="2" t="s">
        <v>892</v>
      </c>
      <c r="F3" s="18"/>
      <c r="G3" s="2" t="s">
        <v>821</v>
      </c>
    </row>
    <row r="4" spans="1:8">
      <c r="A4" t="s">
        <v>39</v>
      </c>
      <c r="B4" t="s">
        <v>56</v>
      </c>
      <c r="C4" t="s">
        <v>811</v>
      </c>
      <c r="D4" t="s">
        <v>62</v>
      </c>
      <c r="E4" t="s">
        <v>893</v>
      </c>
      <c r="G4" t="s">
        <v>821</v>
      </c>
      <c r="H4" t="s">
        <v>894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895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724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724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724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724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724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724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896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896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896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896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896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896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E33/SUM($E$33:$E$38)</f>
        <v>0</v>
      </c>
      <c r="G33" t="b">
        <v>1</v>
      </c>
      <c r="H33" t="s">
        <v>897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897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897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0.434782608695652</v>
      </c>
      <c r="G36" t="b">
        <v>1</v>
      </c>
      <c r="H36" t="s">
        <v>897</v>
      </c>
    </row>
    <row r="37" spans="1:8">
      <c r="B37">
        <v>200305</v>
      </c>
      <c r="C37">
        <v>2003</v>
      </c>
      <c r="D37" t="s">
        <v>113</v>
      </c>
      <c r="E37">
        <v>800</v>
      </c>
      <c r="F37" s="17">
        <f t="shared" si="3"/>
        <v>0.347826086956522</v>
      </c>
      <c r="G37" t="b">
        <v>1</v>
      </c>
      <c r="H37" t="s">
        <v>897</v>
      </c>
    </row>
    <row r="38" spans="1:8">
      <c r="B38">
        <v>200306</v>
      </c>
      <c r="C38">
        <v>2003</v>
      </c>
      <c r="D38" t="s">
        <v>129</v>
      </c>
      <c r="E38">
        <v>500</v>
      </c>
      <c r="F38" s="17">
        <f t="shared" si="3"/>
        <v>0.217391304347826</v>
      </c>
      <c r="G38" t="b">
        <v>1</v>
      </c>
      <c r="H38" t="s">
        <v>897</v>
      </c>
    </row>
    <row r="39" spans="1:8">
      <c r="A39" t="s">
        <v>39</v>
      </c>
      <c r="F39" s="17">
        <f>SUM(F33:F38)</f>
        <v>1</v>
      </c>
    </row>
    <row r="40" spans="1:8">
      <c r="B40">
        <v>300101</v>
      </c>
      <c r="C40">
        <v>3001</v>
      </c>
      <c r="D40" t="s">
        <v>345</v>
      </c>
      <c r="E40">
        <v>100</v>
      </c>
      <c r="G40" t="b">
        <v>0</v>
      </c>
      <c r="H40" t="s">
        <v>898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899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G274" sqref="G274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900</v>
      </c>
      <c r="E1" t="s">
        <v>889</v>
      </c>
      <c r="F1" s="17" t="s">
        <v>795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901</v>
      </c>
      <c r="C3" s="2" t="s">
        <v>859</v>
      </c>
      <c r="D3" s="2" t="s">
        <v>902</v>
      </c>
      <c r="E3" s="2" t="s">
        <v>903</v>
      </c>
      <c r="F3" s="18" t="s">
        <v>904</v>
      </c>
      <c r="G3" s="2" t="s">
        <v>209</v>
      </c>
    </row>
    <row r="4" spans="1:8">
      <c r="A4" t="s">
        <v>39</v>
      </c>
      <c r="B4" t="s">
        <v>56</v>
      </c>
      <c r="C4" t="s">
        <v>811</v>
      </c>
      <c r="D4" t="s">
        <v>905</v>
      </c>
      <c r="E4" t="s">
        <v>906</v>
      </c>
      <c r="F4" s="17" t="s">
        <v>821</v>
      </c>
      <c r="G4" t="s">
        <v>894</v>
      </c>
      <c r="H4" t="s">
        <v>894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822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822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822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822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822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822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822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822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822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822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822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822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822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822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822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822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822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822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822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822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822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822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822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822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822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822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822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822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822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822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822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822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822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822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822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822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822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822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822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822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822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822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822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822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822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822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822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822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822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822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822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822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822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822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822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822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822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822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822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822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822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822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822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822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822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822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822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822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822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822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822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822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822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822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822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822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822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822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822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822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822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822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822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822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822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822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822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822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822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822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822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822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822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822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822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822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822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822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822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822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822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822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822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822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822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822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822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822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822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822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822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822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822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822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822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822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822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822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828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828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828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828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828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828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828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828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828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828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828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828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828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828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828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828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828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828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828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828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828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828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828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828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828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828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828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828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828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828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828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828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828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828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828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828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828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828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828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828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828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828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828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828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828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828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828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828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828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828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828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828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828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828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828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828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828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828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828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828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828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828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828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828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828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828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828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828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828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828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828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828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828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828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828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828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828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828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828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828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828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828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828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828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828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828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828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828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828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828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828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828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828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828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828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828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828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828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828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828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828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828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828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828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828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828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828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828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828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828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828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828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828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828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828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828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828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828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830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830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830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830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830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830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830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830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830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830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830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907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907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907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907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896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896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896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896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896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896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896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896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896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896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896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897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897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897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600</v>
      </c>
      <c r="F270" s="17" t="b">
        <v>1</v>
      </c>
      <c r="G270" t="s">
        <v>897</v>
      </c>
    </row>
  </sheetData>
  <conditionalFormatting sqref="G$1:G$1048576">
    <cfRule type="cellIs" dxfId="9" priority="3" operator="equal">
      <formula>"Demo盲盒普"</formula>
    </cfRule>
    <cfRule type="cellIs" dxfId="10" priority="5" operator="equal">
      <formula>"新手盲盒"</formula>
    </cfRule>
    <cfRule type="cellIs" dxfId="11" priority="6" operator="equal">
      <formula>"标准盲盒"</formula>
    </cfRule>
    <cfRule type="cellIs" dxfId="12" priority="1" operator="equal">
      <formula>"Demo盲盒狗"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908</v>
      </c>
      <c r="D1" t="s">
        <v>889</v>
      </c>
      <c r="E1" t="s">
        <v>909</v>
      </c>
      <c r="F1" t="s">
        <v>910</v>
      </c>
      <c r="G1" t="s">
        <v>911</v>
      </c>
      <c r="H1" t="s">
        <v>912</v>
      </c>
      <c r="I1" t="s">
        <v>795</v>
      </c>
      <c r="J1" t="s">
        <v>913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914</v>
      </c>
      <c r="D3" s="2" t="s">
        <v>915</v>
      </c>
      <c r="E3" s="2" t="s">
        <v>916</v>
      </c>
      <c r="F3" s="2" t="s">
        <v>917</v>
      </c>
      <c r="G3" s="2" t="s">
        <v>917</v>
      </c>
      <c r="H3" s="2" t="s">
        <v>918</v>
      </c>
      <c r="I3" s="2" t="s">
        <v>821</v>
      </c>
      <c r="J3" s="2" t="s">
        <v>919</v>
      </c>
    </row>
    <row r="4" spans="1:11">
      <c r="A4" t="s">
        <v>39</v>
      </c>
      <c r="B4" t="s">
        <v>56</v>
      </c>
      <c r="C4" t="s">
        <v>920</v>
      </c>
      <c r="D4" t="s">
        <v>921</v>
      </c>
      <c r="E4" t="s">
        <v>922</v>
      </c>
      <c r="F4" t="s">
        <v>923</v>
      </c>
      <c r="G4" t="s">
        <v>923</v>
      </c>
      <c r="H4" t="s">
        <v>924</v>
      </c>
      <c r="I4" t="s">
        <v>821</v>
      </c>
      <c r="J4" t="s">
        <v>925</v>
      </c>
      <c r="K4" t="s">
        <v>894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926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926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926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926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926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926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926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345</v>
      </c>
      <c r="D31">
        <v>100</v>
      </c>
      <c r="E31" t="s">
        <v>345</v>
      </c>
      <c r="F31" t="s">
        <v>345</v>
      </c>
      <c r="G31" t="s">
        <v>345</v>
      </c>
      <c r="H31" t="s">
        <v>345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718</v>
      </c>
      <c r="D32">
        <v>100</v>
      </c>
      <c r="E32" t="s">
        <v>718</v>
      </c>
      <c r="F32" t="s">
        <v>718</v>
      </c>
      <c r="G32" t="s">
        <v>718</v>
      </c>
      <c r="H32" t="s">
        <v>718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927</v>
      </c>
      <c r="F1" t="s">
        <v>928</v>
      </c>
      <c r="G1" t="s">
        <v>929</v>
      </c>
      <c r="H1" t="s">
        <v>930</v>
      </c>
      <c r="I1" t="s">
        <v>931</v>
      </c>
      <c r="K1" t="s">
        <v>932</v>
      </c>
      <c r="L1" t="s">
        <v>933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934</v>
      </c>
      <c r="D3" s="2"/>
      <c r="E3" s="2" t="s">
        <v>935</v>
      </c>
      <c r="G3" s="2" t="s">
        <v>936</v>
      </c>
      <c r="H3" s="2" t="s">
        <v>937</v>
      </c>
      <c r="I3" s="2" t="s">
        <v>936</v>
      </c>
      <c r="K3" s="2" t="s">
        <v>938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939</v>
      </c>
      <c r="F4" t="s">
        <v>940</v>
      </c>
      <c r="G4" t="s">
        <v>941</v>
      </c>
      <c r="H4" t="s">
        <v>942</v>
      </c>
      <c r="I4" t="s">
        <v>943</v>
      </c>
      <c r="J4" t="s">
        <v>894</v>
      </c>
      <c r="K4" t="s">
        <v>944</v>
      </c>
      <c r="L4" t="s">
        <v>945</v>
      </c>
    </row>
    <row r="5" spans="1:12">
      <c r="B5">
        <v>1001</v>
      </c>
      <c r="C5" t="s">
        <v>669</v>
      </c>
      <c r="D5" t="s">
        <v>129</v>
      </c>
      <c r="E5" t="s">
        <v>946</v>
      </c>
      <c r="F5" t="s">
        <v>947</v>
      </c>
      <c r="H5" t="s">
        <v>948</v>
      </c>
      <c r="K5" t="s">
        <v>949</v>
      </c>
    </row>
    <row r="6" spans="1:12">
      <c r="B6">
        <v>1002</v>
      </c>
      <c r="C6" s="16" t="s">
        <v>675</v>
      </c>
      <c r="D6" s="16" t="s">
        <v>113</v>
      </c>
      <c r="E6" t="s">
        <v>950</v>
      </c>
      <c r="F6" t="s">
        <v>947</v>
      </c>
      <c r="H6" t="s">
        <v>951</v>
      </c>
      <c r="K6" t="s">
        <v>952</v>
      </c>
    </row>
    <row r="7" spans="1:12">
      <c r="B7">
        <v>1003</v>
      </c>
      <c r="C7" s="16" t="s">
        <v>682</v>
      </c>
      <c r="D7" s="16" t="s">
        <v>109</v>
      </c>
      <c r="E7" t="s">
        <v>953</v>
      </c>
      <c r="F7" t="s">
        <v>947</v>
      </c>
      <c r="H7" t="s">
        <v>954</v>
      </c>
      <c r="K7" t="s">
        <v>955</v>
      </c>
    </row>
    <row r="8" spans="1:12">
      <c r="B8">
        <v>1004</v>
      </c>
      <c r="C8" s="16" t="s">
        <v>689</v>
      </c>
      <c r="D8" s="16" t="s">
        <v>94</v>
      </c>
      <c r="E8" t="s">
        <v>956</v>
      </c>
      <c r="F8" t="s">
        <v>947</v>
      </c>
      <c r="H8" t="s">
        <v>957</v>
      </c>
      <c r="K8" t="s">
        <v>958</v>
      </c>
    </row>
    <row r="9" spans="1:12">
      <c r="B9">
        <v>1005</v>
      </c>
      <c r="C9" s="16" t="s">
        <v>696</v>
      </c>
      <c r="D9" s="16" t="s">
        <v>100</v>
      </c>
      <c r="E9" t="s">
        <v>959</v>
      </c>
      <c r="F9" t="s">
        <v>947</v>
      </c>
      <c r="H9" t="s">
        <v>960</v>
      </c>
      <c r="K9" t="s">
        <v>949</v>
      </c>
    </row>
    <row r="10" spans="1:12">
      <c r="B10">
        <v>1006</v>
      </c>
      <c r="C10" s="16" t="s">
        <v>703</v>
      </c>
      <c r="D10" s="16" t="s">
        <v>86</v>
      </c>
      <c r="E10" t="s">
        <v>961</v>
      </c>
      <c r="F10" t="s">
        <v>947</v>
      </c>
      <c r="H10" t="s">
        <v>962</v>
      </c>
      <c r="K10" t="s">
        <v>952</v>
      </c>
    </row>
    <row r="11" spans="1:12">
      <c r="B11">
        <v>2001</v>
      </c>
      <c r="C11" s="16" t="s">
        <v>710</v>
      </c>
      <c r="D11" s="16" t="s">
        <v>345</v>
      </c>
      <c r="E11" t="s">
        <v>961</v>
      </c>
      <c r="F11" t="s">
        <v>947</v>
      </c>
      <c r="H11" t="s">
        <v>962</v>
      </c>
      <c r="J11" t="s">
        <v>963</v>
      </c>
    </row>
    <row r="12" spans="1:12">
      <c r="B12">
        <v>2002</v>
      </c>
      <c r="C12" s="16" t="s">
        <v>717</v>
      </c>
      <c r="D12" s="16" t="s">
        <v>718</v>
      </c>
      <c r="E12" t="s">
        <v>961</v>
      </c>
      <c r="F12" t="s">
        <v>947</v>
      </c>
      <c r="H12" t="s">
        <v>962</v>
      </c>
      <c r="J12" t="s">
        <v>963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900</v>
      </c>
      <c r="C1" t="s">
        <v>964</v>
      </c>
      <c r="D1" t="s">
        <v>965</v>
      </c>
      <c r="F1" t="s">
        <v>966</v>
      </c>
      <c r="G1" t="s">
        <v>967</v>
      </c>
      <c r="H1" t="s">
        <v>968</v>
      </c>
      <c r="I1" t="s">
        <v>969</v>
      </c>
    </row>
    <row r="2" spans="1:10">
      <c r="A2" t="s">
        <v>28</v>
      </c>
      <c r="B2" t="s">
        <v>970</v>
      </c>
      <c r="C2" t="s">
        <v>29</v>
      </c>
      <c r="D2" t="s">
        <v>971</v>
      </c>
      <c r="F2" t="s">
        <v>800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972</v>
      </c>
      <c r="C3" s="2" t="s">
        <v>973</v>
      </c>
      <c r="D3" s="2" t="s">
        <v>974</v>
      </c>
      <c r="F3" s="2" t="s">
        <v>975</v>
      </c>
      <c r="G3" s="2" t="s">
        <v>976</v>
      </c>
      <c r="H3" s="2" t="s">
        <v>977</v>
      </c>
      <c r="I3" s="2" t="s">
        <v>978</v>
      </c>
    </row>
    <row r="4" spans="1:10">
      <c r="A4" t="s">
        <v>39</v>
      </c>
      <c r="B4" t="s">
        <v>979</v>
      </c>
      <c r="C4" t="s">
        <v>980</v>
      </c>
      <c r="D4" t="s">
        <v>981</v>
      </c>
      <c r="E4" t="s">
        <v>982</v>
      </c>
      <c r="F4" t="s">
        <v>983</v>
      </c>
      <c r="G4" t="s">
        <v>984</v>
      </c>
      <c r="H4" t="s">
        <v>985</v>
      </c>
      <c r="I4" t="s">
        <v>986</v>
      </c>
      <c r="J4" t="s">
        <v>982</v>
      </c>
    </row>
    <row r="6" spans="1:10">
      <c r="B6">
        <v>9001</v>
      </c>
      <c r="C6">
        <v>30</v>
      </c>
      <c r="D6" t="s">
        <v>987</v>
      </c>
      <c r="E6" t="str">
        <f>LOOKUP(B6,Item!B:B,Item!I:I)</f>
        <v>史诗</v>
      </c>
      <c r="F6">
        <v>0.9</v>
      </c>
      <c r="G6" t="s">
        <v>988</v>
      </c>
      <c r="H6" t="s">
        <v>989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987</v>
      </c>
      <c r="E7" t="str">
        <f>LOOKUP(B7,Item!B:B,Item!I:I)</f>
        <v>稀有</v>
      </c>
      <c r="F7">
        <v>0.8</v>
      </c>
      <c r="G7" t="s">
        <v>988</v>
      </c>
      <c r="H7" t="s">
        <v>989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987</v>
      </c>
      <c r="E8" t="str">
        <f>LOOKUP(B8,Item!B:B,Item!I:I)</f>
        <v>稀有</v>
      </c>
      <c r="F8">
        <v>0.8</v>
      </c>
      <c r="G8" t="s">
        <v>988</v>
      </c>
      <c r="H8" t="s">
        <v>989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987</v>
      </c>
      <c r="E9" t="str">
        <f>LOOKUP(B9,Item!B:B,Item!I:I)</f>
        <v>史诗</v>
      </c>
      <c r="F9">
        <v>0.9</v>
      </c>
      <c r="G9" t="s">
        <v>988</v>
      </c>
      <c r="H9" t="s">
        <v>989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987</v>
      </c>
      <c r="E10" t="str">
        <f>LOOKUP(B10,Item!B:B,Item!I:I)</f>
        <v>稀有</v>
      </c>
      <c r="F10">
        <v>0.8</v>
      </c>
      <c r="G10" t="s">
        <v>988</v>
      </c>
      <c r="H10" t="s">
        <v>989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987</v>
      </c>
      <c r="E11" t="str">
        <f>LOOKUP(B11,Item!B:B,Item!I:I)</f>
        <v>稀有</v>
      </c>
      <c r="F11">
        <v>0.8</v>
      </c>
      <c r="G11" t="s">
        <v>988</v>
      </c>
      <c r="H11" t="s">
        <v>989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987</v>
      </c>
      <c r="E12" t="str">
        <f>LOOKUP(B12,Item!B:B,Item!I:I)</f>
        <v>稀有</v>
      </c>
      <c r="F12">
        <v>0.8</v>
      </c>
      <c r="G12" t="s">
        <v>988</v>
      </c>
      <c r="H12" t="s">
        <v>989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987</v>
      </c>
      <c r="E13" t="str">
        <f>LOOKUP(B13,Item!B:B,Item!I:I)</f>
        <v>史诗</v>
      </c>
      <c r="F13">
        <v>0.9</v>
      </c>
      <c r="G13" t="s">
        <v>988</v>
      </c>
      <c r="H13" t="s">
        <v>989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987</v>
      </c>
      <c r="E14" t="str">
        <f>LOOKUP(B14,Item!B:B,Item!I:I)</f>
        <v>优秀</v>
      </c>
      <c r="F14">
        <v>0.7</v>
      </c>
      <c r="G14" t="s">
        <v>988</v>
      </c>
      <c r="H14" t="s">
        <v>989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987</v>
      </c>
      <c r="E15" t="str">
        <f>LOOKUP(B15,Item!B:B,Item!I:I)</f>
        <v>传说</v>
      </c>
      <c r="F15">
        <v>0.9</v>
      </c>
      <c r="G15" t="s">
        <v>988</v>
      </c>
      <c r="H15" t="s">
        <v>989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987</v>
      </c>
      <c r="E16" t="str">
        <f>LOOKUP(B16,Item!B:B,Item!I:I)</f>
        <v>传说</v>
      </c>
      <c r="F16">
        <v>1</v>
      </c>
      <c r="G16" t="s">
        <v>988</v>
      </c>
      <c r="H16" t="s">
        <v>989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990</v>
      </c>
      <c r="D1" t="s">
        <v>991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992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993</v>
      </c>
      <c r="E3" t="s">
        <v>994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995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996</v>
      </c>
      <c r="D6" t="s">
        <v>352</v>
      </c>
      <c r="E6">
        <v>3</v>
      </c>
    </row>
    <row r="7" spans="1:5">
      <c r="B7">
        <v>1004</v>
      </c>
      <c r="C7" t="s">
        <v>997</v>
      </c>
      <c r="D7" t="s">
        <v>539</v>
      </c>
      <c r="E7">
        <v>4</v>
      </c>
    </row>
    <row r="8" spans="1:5">
      <c r="D8" t="s">
        <v>384</v>
      </c>
    </row>
    <row r="9" spans="1:5">
      <c r="D9" t="s">
        <v>646</v>
      </c>
    </row>
    <row r="10" spans="1:5">
      <c r="B10">
        <v>1005</v>
      </c>
      <c r="C10" t="s">
        <v>998</v>
      </c>
      <c r="D10" t="s">
        <v>417</v>
      </c>
      <c r="E10">
        <v>5</v>
      </c>
    </row>
    <row r="11" spans="1:5">
      <c r="D11" t="s">
        <v>462</v>
      </c>
    </row>
    <row r="12" spans="1:5">
      <c r="B12">
        <v>1006</v>
      </c>
      <c r="C12" t="s">
        <v>584</v>
      </c>
      <c r="D12" t="s">
        <v>584</v>
      </c>
      <c r="E12">
        <v>6</v>
      </c>
    </row>
    <row r="13" spans="1:5">
      <c r="D13" t="s">
        <v>632</v>
      </c>
    </row>
    <row r="14" spans="1:5">
      <c r="D14" t="s">
        <v>637</v>
      </c>
    </row>
    <row r="15" spans="1:5">
      <c r="D15" t="s">
        <v>358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999</v>
      </c>
      <c r="D1" t="s">
        <v>1000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1001</v>
      </c>
      <c r="D3" t="s">
        <v>1002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352</v>
      </c>
      <c r="C7" t="b">
        <v>1</v>
      </c>
    </row>
    <row r="8" spans="1:4">
      <c r="B8" t="s">
        <v>358</v>
      </c>
      <c r="C8" t="b">
        <v>0</v>
      </c>
      <c r="D8">
        <v>4003</v>
      </c>
    </row>
    <row r="9" spans="1:4">
      <c r="B9" t="s">
        <v>539</v>
      </c>
      <c r="C9" t="b">
        <v>1</v>
      </c>
    </row>
    <row r="10" spans="1:4">
      <c r="B10" t="s">
        <v>384</v>
      </c>
      <c r="C10" t="b">
        <v>1</v>
      </c>
    </row>
    <row r="11" spans="1:4">
      <c r="B11" t="s">
        <v>417</v>
      </c>
      <c r="C11" t="b">
        <v>0</v>
      </c>
      <c r="D11">
        <v>6001</v>
      </c>
    </row>
    <row r="12" spans="1:4">
      <c r="B12" t="s">
        <v>462</v>
      </c>
      <c r="C12" t="b">
        <v>0</v>
      </c>
      <c r="D12">
        <v>7004</v>
      </c>
    </row>
    <row r="13" spans="1:4">
      <c r="B13" t="s">
        <v>584</v>
      </c>
      <c r="C13" t="b">
        <v>1</v>
      </c>
    </row>
    <row r="14" spans="1:4">
      <c r="B14" t="s">
        <v>632</v>
      </c>
      <c r="C14" t="b">
        <v>0</v>
      </c>
      <c r="D14">
        <v>10001</v>
      </c>
    </row>
    <row r="15" spans="1:4">
      <c r="B15" t="s">
        <v>637</v>
      </c>
      <c r="C15" t="b">
        <v>0</v>
      </c>
      <c r="D15">
        <v>11002</v>
      </c>
    </row>
    <row r="16" spans="1:4">
      <c r="B16" t="s">
        <v>646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1003</v>
      </c>
      <c r="D1" t="s">
        <v>9</v>
      </c>
      <c r="E1" t="s">
        <v>1004</v>
      </c>
      <c r="F1" t="s">
        <v>795</v>
      </c>
      <c r="G1" t="s">
        <v>5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1013</v>
      </c>
      <c r="Q1" t="s">
        <v>1014</v>
      </c>
      <c r="R1" t="s">
        <v>1015</v>
      </c>
      <c r="S1" t="s">
        <v>1016</v>
      </c>
      <c r="T1" t="s">
        <v>1017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1018</v>
      </c>
      <c r="N2" t="s">
        <v>1019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1020</v>
      </c>
      <c r="C3" s="2" t="s">
        <v>1021</v>
      </c>
      <c r="D3" s="2" t="s">
        <v>1022</v>
      </c>
      <c r="E3" s="2" t="s">
        <v>1023</v>
      </c>
      <c r="F3" s="2" t="s">
        <v>1024</v>
      </c>
      <c r="G3" s="2" t="s">
        <v>1025</v>
      </c>
      <c r="H3" s="2" t="s">
        <v>1026</v>
      </c>
      <c r="I3" s="2" t="s">
        <v>1027</v>
      </c>
      <c r="J3" s="2" t="s">
        <v>1028</v>
      </c>
      <c r="K3" s="2" t="s">
        <v>1029</v>
      </c>
      <c r="L3" s="2" t="s">
        <v>1030</v>
      </c>
      <c r="M3" s="2" t="s">
        <v>1031</v>
      </c>
      <c r="N3" s="2" t="s">
        <v>1032</v>
      </c>
      <c r="O3" s="2" t="s">
        <v>1033</v>
      </c>
      <c r="P3" s="2" t="s">
        <v>1034</v>
      </c>
      <c r="Q3" s="2" t="s">
        <v>1035</v>
      </c>
      <c r="R3" s="2" t="s">
        <v>1036</v>
      </c>
      <c r="S3" s="2" t="s">
        <v>1037</v>
      </c>
      <c r="T3" s="2" t="s">
        <v>1038</v>
      </c>
    </row>
    <row r="4" spans="1:21">
      <c r="A4" t="s">
        <v>39</v>
      </c>
      <c r="B4" t="s">
        <v>1039</v>
      </c>
      <c r="C4" t="s">
        <v>1040</v>
      </c>
      <c r="D4" t="s">
        <v>1041</v>
      </c>
      <c r="E4" t="s">
        <v>1042</v>
      </c>
      <c r="F4" t="s">
        <v>1043</v>
      </c>
      <c r="G4" t="s">
        <v>60</v>
      </c>
      <c r="H4" t="s">
        <v>1044</v>
      </c>
      <c r="I4" t="s">
        <v>1045</v>
      </c>
      <c r="J4" t="s">
        <v>1046</v>
      </c>
      <c r="K4" t="s">
        <v>1047</v>
      </c>
      <c r="L4" t="s">
        <v>1048</v>
      </c>
      <c r="M4" t="s">
        <v>1049</v>
      </c>
      <c r="N4" t="s">
        <v>1050</v>
      </c>
      <c r="O4" t="s">
        <v>1051</v>
      </c>
      <c r="P4" t="s">
        <v>1052</v>
      </c>
      <c r="Q4" t="s">
        <v>1053</v>
      </c>
      <c r="R4" t="s">
        <v>1054</v>
      </c>
      <c r="S4" t="s">
        <v>1055</v>
      </c>
      <c r="T4" t="s">
        <v>1056</v>
      </c>
      <c r="U4" t="s">
        <v>894</v>
      </c>
    </row>
    <row r="5" spans="1:21">
      <c r="B5">
        <v>1001</v>
      </c>
      <c r="C5" t="s">
        <v>1057</v>
      </c>
      <c r="D5">
        <v>30</v>
      </c>
      <c r="E5" t="b">
        <v>0</v>
      </c>
      <c r="F5" t="b">
        <v>0</v>
      </c>
      <c r="H5" t="s">
        <v>1058</v>
      </c>
      <c r="I5" t="s">
        <v>1059</v>
      </c>
      <c r="J5" t="s">
        <v>1060</v>
      </c>
      <c r="K5" t="s">
        <v>1061</v>
      </c>
      <c r="L5" t="s">
        <v>1062</v>
      </c>
      <c r="M5" t="s">
        <v>1063</v>
      </c>
      <c r="N5" t="s">
        <v>1064</v>
      </c>
      <c r="O5">
        <v>92005</v>
      </c>
      <c r="P5">
        <v>0</v>
      </c>
      <c r="Q5">
        <v>0</v>
      </c>
      <c r="U5" t="s">
        <v>1065</v>
      </c>
    </row>
    <row r="6" spans="1:21">
      <c r="B6">
        <v>1002</v>
      </c>
      <c r="C6" t="s">
        <v>1066</v>
      </c>
      <c r="D6">
        <v>10</v>
      </c>
      <c r="E6" t="b">
        <v>1</v>
      </c>
      <c r="F6" t="b">
        <v>0</v>
      </c>
      <c r="H6" t="s">
        <v>1067</v>
      </c>
      <c r="I6" t="s">
        <v>1068</v>
      </c>
      <c r="J6" t="s">
        <v>1060</v>
      </c>
      <c r="K6" t="s">
        <v>1069</v>
      </c>
      <c r="L6" t="s">
        <v>1069</v>
      </c>
      <c r="M6" t="s">
        <v>1063</v>
      </c>
      <c r="N6" t="s">
        <v>1070</v>
      </c>
      <c r="O6">
        <v>0</v>
      </c>
      <c r="P6">
        <v>2500</v>
      </c>
      <c r="Q6">
        <v>0</v>
      </c>
      <c r="U6" t="s">
        <v>1065</v>
      </c>
    </row>
    <row r="7" spans="1:21">
      <c r="B7">
        <v>1003</v>
      </c>
      <c r="C7" t="s">
        <v>1071</v>
      </c>
      <c r="D7">
        <v>20</v>
      </c>
      <c r="E7" t="b">
        <v>0</v>
      </c>
      <c r="F7" t="b">
        <v>0</v>
      </c>
      <c r="H7" t="s">
        <v>1072</v>
      </c>
      <c r="I7" t="s">
        <v>1073</v>
      </c>
      <c r="J7" t="s">
        <v>1060</v>
      </c>
      <c r="K7" t="s">
        <v>1074</v>
      </c>
      <c r="L7" t="s">
        <v>1075</v>
      </c>
      <c r="M7" t="s">
        <v>1063</v>
      </c>
      <c r="N7" t="s">
        <v>1070</v>
      </c>
      <c r="O7">
        <v>0</v>
      </c>
      <c r="P7">
        <v>2500</v>
      </c>
      <c r="Q7">
        <v>0</v>
      </c>
      <c r="U7" t="s">
        <v>1065</v>
      </c>
    </row>
    <row r="8" spans="1:21">
      <c r="B8">
        <v>1004</v>
      </c>
      <c r="C8" t="s">
        <v>1076</v>
      </c>
      <c r="D8">
        <v>40</v>
      </c>
      <c r="E8" t="b">
        <v>0</v>
      </c>
      <c r="F8" t="b">
        <v>0</v>
      </c>
      <c r="H8" t="s">
        <v>1077</v>
      </c>
      <c r="I8" t="s">
        <v>1078</v>
      </c>
      <c r="J8" t="s">
        <v>1060</v>
      </c>
      <c r="K8" t="s">
        <v>1079</v>
      </c>
      <c r="L8" t="s">
        <v>1079</v>
      </c>
      <c r="M8" t="s">
        <v>1063</v>
      </c>
      <c r="N8" t="s">
        <v>1064</v>
      </c>
      <c r="O8">
        <v>91012</v>
      </c>
      <c r="P8">
        <v>0</v>
      </c>
      <c r="Q8">
        <v>0</v>
      </c>
      <c r="U8" t="s">
        <v>1065</v>
      </c>
    </row>
    <row r="9" customFormat="1" spans="1:21">
      <c r="B9">
        <v>1005</v>
      </c>
      <c r="C9" t="s">
        <v>1057</v>
      </c>
      <c r="D9">
        <v>60</v>
      </c>
      <c r="E9" t="b">
        <v>0</v>
      </c>
      <c r="F9" t="b">
        <v>0</v>
      </c>
      <c r="H9" t="s">
        <v>1058</v>
      </c>
      <c r="I9" t="s">
        <v>1059</v>
      </c>
      <c r="J9" t="s">
        <v>1060</v>
      </c>
      <c r="K9" t="s">
        <v>1061</v>
      </c>
      <c r="L9" t="s">
        <v>1062</v>
      </c>
      <c r="M9" t="s">
        <v>1063</v>
      </c>
      <c r="N9" t="s">
        <v>1064</v>
      </c>
      <c r="O9">
        <v>92005</v>
      </c>
      <c r="P9">
        <v>0</v>
      </c>
      <c r="Q9">
        <v>0</v>
      </c>
      <c r="U9" t="s">
        <v>1065</v>
      </c>
    </row>
    <row r="10" customFormat="1" spans="1:21">
      <c r="B10">
        <v>1006</v>
      </c>
      <c r="C10" t="s">
        <v>1066</v>
      </c>
      <c r="D10">
        <v>80</v>
      </c>
      <c r="E10" t="b">
        <v>1</v>
      </c>
      <c r="F10" t="b">
        <v>1</v>
      </c>
      <c r="G10" t="s">
        <v>93</v>
      </c>
      <c r="H10" t="s">
        <v>1067</v>
      </c>
      <c r="I10" t="s">
        <v>1068</v>
      </c>
      <c r="J10" t="s">
        <v>1060</v>
      </c>
      <c r="K10" t="s">
        <v>1069</v>
      </c>
      <c r="L10" t="s">
        <v>1069</v>
      </c>
      <c r="M10" t="s">
        <v>1063</v>
      </c>
      <c r="N10" t="s">
        <v>1070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1071</v>
      </c>
      <c r="D11">
        <v>100</v>
      </c>
      <c r="E11" t="b">
        <v>0</v>
      </c>
      <c r="F11" t="b">
        <v>1</v>
      </c>
      <c r="G11" t="s">
        <v>93</v>
      </c>
      <c r="H11" t="s">
        <v>1072</v>
      </c>
      <c r="I11" t="s">
        <v>1073</v>
      </c>
      <c r="J11" t="s">
        <v>1060</v>
      </c>
      <c r="K11" t="s">
        <v>1074</v>
      </c>
      <c r="L11" t="s">
        <v>1075</v>
      </c>
      <c r="M11" t="s">
        <v>1063</v>
      </c>
      <c r="N11" t="s">
        <v>1070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1076</v>
      </c>
      <c r="D12">
        <v>120</v>
      </c>
      <c r="E12" t="b">
        <v>0</v>
      </c>
      <c r="F12" t="b">
        <v>0</v>
      </c>
      <c r="H12" t="s">
        <v>1077</v>
      </c>
      <c r="I12" t="s">
        <v>1078</v>
      </c>
      <c r="J12" t="s">
        <v>1060</v>
      </c>
      <c r="K12" t="s">
        <v>1079</v>
      </c>
      <c r="L12" t="s">
        <v>1079</v>
      </c>
      <c r="M12" t="s">
        <v>1063</v>
      </c>
      <c r="N12" t="s">
        <v>1064</v>
      </c>
      <c r="O12">
        <v>0</v>
      </c>
      <c r="P12">
        <v>0</v>
      </c>
      <c r="Q12">
        <v>0</v>
      </c>
      <c r="U12" t="s">
        <v>1065</v>
      </c>
    </row>
    <row r="13" customFormat="1" spans="1:21">
      <c r="B13">
        <v>1009</v>
      </c>
      <c r="C13" t="s">
        <v>1057</v>
      </c>
      <c r="D13">
        <v>60</v>
      </c>
      <c r="E13" t="b">
        <v>0</v>
      </c>
      <c r="F13" t="b">
        <v>1</v>
      </c>
      <c r="G13" t="s">
        <v>93</v>
      </c>
      <c r="H13" t="s">
        <v>1058</v>
      </c>
      <c r="I13" t="s">
        <v>1059</v>
      </c>
      <c r="J13" t="s">
        <v>1060</v>
      </c>
      <c r="K13" t="s">
        <v>1061</v>
      </c>
      <c r="L13" t="s">
        <v>1062</v>
      </c>
      <c r="M13" t="s">
        <v>1063</v>
      </c>
      <c r="N13" t="s">
        <v>1064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1076</v>
      </c>
      <c r="D14">
        <v>120</v>
      </c>
      <c r="E14" t="b">
        <v>0</v>
      </c>
      <c r="F14" t="b">
        <v>0</v>
      </c>
      <c r="H14" t="s">
        <v>1077</v>
      </c>
      <c r="I14" t="s">
        <v>1078</v>
      </c>
      <c r="J14" t="s">
        <v>1060</v>
      </c>
      <c r="K14" t="s">
        <v>1079</v>
      </c>
      <c r="L14" t="s">
        <v>1079</v>
      </c>
      <c r="M14" t="s">
        <v>1063</v>
      </c>
      <c r="N14" t="s">
        <v>1064</v>
      </c>
      <c r="O14">
        <v>0</v>
      </c>
      <c r="P14">
        <v>0</v>
      </c>
      <c r="Q14">
        <v>0</v>
      </c>
      <c r="U14" t="s">
        <v>1065</v>
      </c>
    </row>
    <row r="15" customFormat="1" spans="1:21">
      <c r="B15">
        <v>1011</v>
      </c>
      <c r="C15" t="s">
        <v>1076</v>
      </c>
      <c r="D15">
        <v>120</v>
      </c>
      <c r="E15" t="b">
        <v>0</v>
      </c>
      <c r="F15" t="b">
        <v>1</v>
      </c>
      <c r="G15" t="s">
        <v>93</v>
      </c>
      <c r="H15" t="s">
        <v>1077</v>
      </c>
      <c r="I15" t="s">
        <v>1078</v>
      </c>
      <c r="J15" t="s">
        <v>1060</v>
      </c>
      <c r="K15" t="s">
        <v>1079</v>
      </c>
      <c r="L15" t="s">
        <v>1079</v>
      </c>
      <c r="M15" t="s">
        <v>1063</v>
      </c>
      <c r="N15" t="s">
        <v>1064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1080</v>
      </c>
      <c r="D16">
        <v>2000</v>
      </c>
      <c r="E16" t="b">
        <v>0</v>
      </c>
      <c r="F16" t="b">
        <v>1</v>
      </c>
      <c r="G16" t="s">
        <v>836</v>
      </c>
      <c r="H16" t="s">
        <v>1081</v>
      </c>
      <c r="I16" t="s">
        <v>1082</v>
      </c>
      <c r="J16" t="s">
        <v>1060</v>
      </c>
      <c r="K16" t="s">
        <v>1079</v>
      </c>
      <c r="L16" t="s">
        <v>1079</v>
      </c>
      <c r="M16" t="s">
        <v>1063</v>
      </c>
      <c r="N16" t="s">
        <v>1064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1083</v>
      </c>
      <c r="D17">
        <v>2000</v>
      </c>
      <c r="E17" t="b">
        <v>0</v>
      </c>
      <c r="F17" t="b">
        <v>1</v>
      </c>
      <c r="G17" t="s">
        <v>836</v>
      </c>
      <c r="H17" t="s">
        <v>1081</v>
      </c>
      <c r="I17" t="s">
        <v>1082</v>
      </c>
      <c r="J17" t="s">
        <v>1060</v>
      </c>
      <c r="K17" t="s">
        <v>1079</v>
      </c>
      <c r="L17" t="s">
        <v>1079</v>
      </c>
      <c r="M17" t="s">
        <v>1063</v>
      </c>
      <c r="N17" t="s">
        <v>1064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1084</v>
      </c>
      <c r="D18">
        <v>2000</v>
      </c>
      <c r="E18" t="b">
        <v>0</v>
      </c>
      <c r="F18" t="b">
        <v>1</v>
      </c>
      <c r="G18" t="s">
        <v>836</v>
      </c>
      <c r="H18" t="s">
        <v>1081</v>
      </c>
      <c r="I18" t="s">
        <v>1082</v>
      </c>
      <c r="J18" t="s">
        <v>1060</v>
      </c>
      <c r="K18" t="s">
        <v>1079</v>
      </c>
      <c r="L18" t="s">
        <v>1079</v>
      </c>
      <c r="M18" t="s">
        <v>1063</v>
      </c>
      <c r="N18" t="s">
        <v>1064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1085</v>
      </c>
      <c r="D19">
        <v>2000</v>
      </c>
      <c r="E19" t="b">
        <v>0</v>
      </c>
      <c r="F19" t="b">
        <v>1</v>
      </c>
      <c r="G19" t="s">
        <v>836</v>
      </c>
      <c r="H19" t="s">
        <v>1081</v>
      </c>
      <c r="I19" t="s">
        <v>1082</v>
      </c>
      <c r="J19" t="s">
        <v>1060</v>
      </c>
      <c r="K19" t="s">
        <v>1079</v>
      </c>
      <c r="L19" t="s">
        <v>1079</v>
      </c>
      <c r="M19" t="s">
        <v>1063</v>
      </c>
      <c r="N19" t="s">
        <v>1064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1057</v>
      </c>
      <c r="D20">
        <v>30</v>
      </c>
      <c r="E20" t="b">
        <v>0</v>
      </c>
      <c r="F20" t="b">
        <v>1</v>
      </c>
      <c r="G20" t="s">
        <v>832</v>
      </c>
      <c r="H20" t="s">
        <v>1058</v>
      </c>
      <c r="I20" t="s">
        <v>1059</v>
      </c>
      <c r="J20" t="s">
        <v>1060</v>
      </c>
      <c r="K20" t="s">
        <v>1061</v>
      </c>
      <c r="L20" t="s">
        <v>1062</v>
      </c>
      <c r="M20" t="s">
        <v>1063</v>
      </c>
      <c r="N20" t="s">
        <v>1064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1066</v>
      </c>
      <c r="D21">
        <v>10</v>
      </c>
      <c r="E21" t="b">
        <v>1</v>
      </c>
      <c r="F21" t="b">
        <v>1</v>
      </c>
      <c r="G21" t="s">
        <v>832</v>
      </c>
      <c r="H21" t="s">
        <v>1067</v>
      </c>
      <c r="I21" t="s">
        <v>1068</v>
      </c>
      <c r="J21" t="s">
        <v>1060</v>
      </c>
      <c r="K21" t="s">
        <v>1086</v>
      </c>
      <c r="L21" t="s">
        <v>1069</v>
      </c>
      <c r="M21" t="s">
        <v>1063</v>
      </c>
      <c r="N21" t="s">
        <v>1064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1071</v>
      </c>
      <c r="D22">
        <v>20</v>
      </c>
      <c r="E22" t="b">
        <v>0</v>
      </c>
      <c r="F22" t="b">
        <v>1</v>
      </c>
      <c r="G22" t="s">
        <v>832</v>
      </c>
      <c r="H22" t="s">
        <v>1072</v>
      </c>
      <c r="I22" t="s">
        <v>1073</v>
      </c>
      <c r="J22" t="s">
        <v>1060</v>
      </c>
      <c r="K22" t="s">
        <v>1087</v>
      </c>
      <c r="L22" t="s">
        <v>1075</v>
      </c>
      <c r="M22" t="s">
        <v>1063</v>
      </c>
      <c r="N22" t="s">
        <v>1064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1076</v>
      </c>
      <c r="D23">
        <v>40</v>
      </c>
      <c r="E23" t="b">
        <v>0</v>
      </c>
      <c r="F23" t="b">
        <v>1</v>
      </c>
      <c r="G23" t="s">
        <v>832</v>
      </c>
      <c r="H23" t="s">
        <v>1077</v>
      </c>
      <c r="I23" t="s">
        <v>1078</v>
      </c>
      <c r="J23" t="s">
        <v>1060</v>
      </c>
      <c r="K23" t="s">
        <v>1079</v>
      </c>
      <c r="L23" t="s">
        <v>1079</v>
      </c>
      <c r="M23" t="s">
        <v>1063</v>
      </c>
      <c r="N23" t="s">
        <v>1064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3" priority="2" operator="between" text="FALSE">
      <formula>NOT(ISERROR(SEARCH("FALSE",F15)))</formula>
    </cfRule>
  </conditionalFormatting>
  <conditionalFormatting sqref="F1:F14 F16:F1048576">
    <cfRule type="containsText" dxfId="13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1003</v>
      </c>
      <c r="E1" t="s">
        <v>1088</v>
      </c>
      <c r="F1" t="s">
        <v>2</v>
      </c>
      <c r="G1" t="s">
        <v>1089</v>
      </c>
      <c r="H1" t="s">
        <v>1090</v>
      </c>
      <c r="I1" t="s">
        <v>1091</v>
      </c>
      <c r="J1" t="s">
        <v>1092</v>
      </c>
      <c r="K1" t="s">
        <v>1093</v>
      </c>
      <c r="L1" t="s">
        <v>1094</v>
      </c>
      <c r="M1" t="s">
        <v>1095</v>
      </c>
      <c r="N1" t="s">
        <v>1096</v>
      </c>
      <c r="O1" t="s">
        <v>1097</v>
      </c>
      <c r="P1" t="s">
        <v>795</v>
      </c>
      <c r="Q1" t="s">
        <v>1098</v>
      </c>
      <c r="R1" t="s">
        <v>1099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1100</v>
      </c>
      <c r="C3" s="2" t="s">
        <v>1101</v>
      </c>
      <c r="E3" s="2" t="s">
        <v>1102</v>
      </c>
      <c r="F3" s="14" t="s">
        <v>1103</v>
      </c>
      <c r="G3" s="2" t="s">
        <v>49</v>
      </c>
      <c r="H3" s="15" t="s">
        <v>1104</v>
      </c>
      <c r="I3" s="2" t="s">
        <v>1105</v>
      </c>
      <c r="J3" s="2" t="s">
        <v>1106</v>
      </c>
      <c r="K3" s="2" t="s">
        <v>1107</v>
      </c>
      <c r="L3" s="2" t="s">
        <v>1108</v>
      </c>
      <c r="M3" s="2" t="s">
        <v>1109</v>
      </c>
      <c r="N3" s="2" t="s">
        <v>1110</v>
      </c>
      <c r="O3" s="2" t="s">
        <v>1111</v>
      </c>
      <c r="P3" s="2" t="s">
        <v>1112</v>
      </c>
      <c r="Q3" s="2" t="s">
        <v>1113</v>
      </c>
      <c r="R3" s="2" t="s">
        <v>1114</v>
      </c>
    </row>
    <row r="4" spans="1:18">
      <c r="A4" t="s">
        <v>39</v>
      </c>
      <c r="B4" t="s">
        <v>1115</v>
      </c>
      <c r="C4" t="s">
        <v>1040</v>
      </c>
      <c r="D4" t="s">
        <v>1116</v>
      </c>
      <c r="E4" t="s">
        <v>1117</v>
      </c>
      <c r="F4" t="s">
        <v>1118</v>
      </c>
      <c r="G4" t="s">
        <v>72</v>
      </c>
      <c r="H4" t="s">
        <v>1119</v>
      </c>
      <c r="I4" t="s">
        <v>1120</v>
      </c>
      <c r="J4" t="s">
        <v>74</v>
      </c>
      <c r="K4" t="s">
        <v>1121</v>
      </c>
      <c r="L4" t="s">
        <v>1122</v>
      </c>
      <c r="M4" t="s">
        <v>1123</v>
      </c>
      <c r="N4" t="s">
        <v>76</v>
      </c>
      <c r="O4" t="s">
        <v>1124</v>
      </c>
      <c r="P4" t="s">
        <v>1043</v>
      </c>
      <c r="Q4" t="s">
        <v>1125</v>
      </c>
      <c r="R4" t="s">
        <v>1126</v>
      </c>
    </row>
    <row r="5" spans="1:18">
      <c r="A5" t="s">
        <v>209</v>
      </c>
      <c r="B5">
        <v>401001</v>
      </c>
      <c r="C5" t="s">
        <v>1127</v>
      </c>
      <c r="D5" t="s">
        <v>1128</v>
      </c>
      <c r="E5" t="s">
        <v>90</v>
      </c>
      <c r="F5" t="s">
        <v>1129</v>
      </c>
      <c r="G5" t="s">
        <v>1130</v>
      </c>
      <c r="H5" t="s">
        <v>1131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1132</v>
      </c>
      <c r="D6" t="s">
        <v>1133</v>
      </c>
      <c r="E6" t="s">
        <v>90</v>
      </c>
      <c r="F6" t="s">
        <v>1134</v>
      </c>
      <c r="G6" t="s">
        <v>1135</v>
      </c>
      <c r="H6" t="s">
        <v>1131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1136</v>
      </c>
      <c r="D7" t="s">
        <v>1137</v>
      </c>
      <c r="E7" t="s">
        <v>90</v>
      </c>
      <c r="F7" t="s">
        <v>1138</v>
      </c>
      <c r="G7" t="s">
        <v>1139</v>
      </c>
      <c r="H7" t="s">
        <v>1131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1140</v>
      </c>
      <c r="D8" t="s">
        <v>1141</v>
      </c>
      <c r="E8" t="s">
        <v>90</v>
      </c>
      <c r="F8" t="s">
        <v>1142</v>
      </c>
      <c r="G8" t="s">
        <v>1143</v>
      </c>
      <c r="H8" t="s">
        <v>1131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1144</v>
      </c>
      <c r="D9" t="s">
        <v>1145</v>
      </c>
      <c r="E9" t="s">
        <v>90</v>
      </c>
      <c r="F9" t="s">
        <v>1129</v>
      </c>
      <c r="G9" t="s">
        <v>1130</v>
      </c>
      <c r="H9" t="s">
        <v>1131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1146</v>
      </c>
      <c r="D10" t="s">
        <v>1147</v>
      </c>
      <c r="E10" t="s">
        <v>90</v>
      </c>
      <c r="F10" t="s">
        <v>1134</v>
      </c>
      <c r="G10" t="s">
        <v>1135</v>
      </c>
      <c r="H10" t="s">
        <v>1131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1148</v>
      </c>
      <c r="D11" t="s">
        <v>1149</v>
      </c>
      <c r="E11" t="s">
        <v>90</v>
      </c>
      <c r="F11" t="s">
        <v>1138</v>
      </c>
      <c r="G11" t="s">
        <v>1139</v>
      </c>
      <c r="H11" t="s">
        <v>1131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1150</v>
      </c>
      <c r="D12" t="s">
        <v>1151</v>
      </c>
      <c r="E12" t="s">
        <v>90</v>
      </c>
      <c r="F12" t="s">
        <v>1142</v>
      </c>
      <c r="G12" t="s">
        <v>1143</v>
      </c>
      <c r="H12" t="s">
        <v>1131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1152</v>
      </c>
      <c r="D13" t="s">
        <v>1153</v>
      </c>
      <c r="E13" t="s">
        <v>90</v>
      </c>
      <c r="F13" t="s">
        <v>1154</v>
      </c>
      <c r="G13" t="s">
        <v>1155</v>
      </c>
      <c r="H13" t="s">
        <v>1131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1156</v>
      </c>
      <c r="D14" t="s">
        <v>1157</v>
      </c>
      <c r="E14" t="s">
        <v>90</v>
      </c>
      <c r="F14" t="s">
        <v>1158</v>
      </c>
      <c r="G14" t="s">
        <v>1159</v>
      </c>
      <c r="H14" t="s">
        <v>1131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1160</v>
      </c>
      <c r="D15" t="s">
        <v>1161</v>
      </c>
      <c r="E15" t="s">
        <v>90</v>
      </c>
      <c r="F15" t="s">
        <v>1162</v>
      </c>
      <c r="G15" t="s">
        <v>1163</v>
      </c>
      <c r="H15" t="s">
        <v>1131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1164</v>
      </c>
      <c r="D16" t="s">
        <v>1165</v>
      </c>
      <c r="E16" t="s">
        <v>90</v>
      </c>
      <c r="F16" t="s">
        <v>1166</v>
      </c>
      <c r="G16" t="s">
        <v>1167</v>
      </c>
      <c r="H16" t="s">
        <v>1131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1168</v>
      </c>
      <c r="D17" t="s">
        <v>1169</v>
      </c>
      <c r="E17" t="s">
        <v>1097</v>
      </c>
      <c r="F17" t="s">
        <v>1170</v>
      </c>
      <c r="G17" t="s">
        <v>1171</v>
      </c>
      <c r="H17" t="s">
        <v>1131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1172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1173</v>
      </c>
      <c r="D18" t="s">
        <v>1169</v>
      </c>
      <c r="E18" t="s">
        <v>1097</v>
      </c>
      <c r="F18" t="s">
        <v>1174</v>
      </c>
      <c r="G18" t="s">
        <v>1175</v>
      </c>
      <c r="H18" t="s">
        <v>1131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1177</v>
      </c>
      <c r="D19" t="s">
        <v>1169</v>
      </c>
      <c r="E19" t="s">
        <v>1097</v>
      </c>
      <c r="F19" t="s">
        <v>1178</v>
      </c>
      <c r="G19" t="s">
        <v>1179</v>
      </c>
      <c r="H19" t="s">
        <v>1131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1180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1181</v>
      </c>
      <c r="D20" t="s">
        <v>1169</v>
      </c>
      <c r="E20" t="s">
        <v>1097</v>
      </c>
      <c r="F20" t="s">
        <v>1182</v>
      </c>
      <c r="G20" t="s">
        <v>1183</v>
      </c>
      <c r="H20" t="s">
        <v>1131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1184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1185</v>
      </c>
    </row>
    <row r="22" spans="1:18">
      <c r="A22" t="s">
        <v>209</v>
      </c>
      <c r="B22">
        <v>402001</v>
      </c>
      <c r="C22" t="s">
        <v>1186</v>
      </c>
      <c r="D22" t="s">
        <v>1187</v>
      </c>
      <c r="E22" t="s">
        <v>90</v>
      </c>
      <c r="F22" t="s">
        <v>1188</v>
      </c>
      <c r="G22" t="s">
        <v>1189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1190</v>
      </c>
      <c r="D23" t="s">
        <v>1191</v>
      </c>
      <c r="E23" t="s">
        <v>90</v>
      </c>
      <c r="F23" t="s">
        <v>1192</v>
      </c>
      <c r="G23" t="s">
        <v>1193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1194</v>
      </c>
      <c r="D24" t="s">
        <v>1195</v>
      </c>
      <c r="E24" t="s">
        <v>90</v>
      </c>
      <c r="F24" t="s">
        <v>1196</v>
      </c>
      <c r="G24" t="s">
        <v>1197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1198</v>
      </c>
    </row>
    <row r="26" spans="1:18">
      <c r="A26" t="s">
        <v>209</v>
      </c>
      <c r="B26">
        <v>403001</v>
      </c>
      <c r="C26" t="s">
        <v>1199</v>
      </c>
      <c r="D26" t="s">
        <v>1200</v>
      </c>
      <c r="E26" t="s">
        <v>1201</v>
      </c>
      <c r="F26" t="s">
        <v>1202</v>
      </c>
      <c r="G26" t="s">
        <v>1203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1204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1205</v>
      </c>
      <c r="D27" t="s">
        <v>1206</v>
      </c>
      <c r="E27" t="s">
        <v>1201</v>
      </c>
      <c r="F27" t="s">
        <v>1207</v>
      </c>
      <c r="G27" t="s">
        <v>1208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1210</v>
      </c>
      <c r="D28" t="s">
        <v>1211</v>
      </c>
      <c r="E28" t="s">
        <v>1201</v>
      </c>
      <c r="F28" t="s">
        <v>1212</v>
      </c>
      <c r="G28" t="s">
        <v>1213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1209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1214</v>
      </c>
    </row>
    <row r="30" spans="1:18">
      <c r="B30">
        <v>404001</v>
      </c>
      <c r="C30" t="s">
        <v>1215</v>
      </c>
      <c r="D30" t="s">
        <v>1216</v>
      </c>
      <c r="E30" t="s">
        <v>775</v>
      </c>
      <c r="F30" t="s">
        <v>1217</v>
      </c>
      <c r="G30" t="s">
        <v>1218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1220</v>
      </c>
      <c r="D31" t="s">
        <v>1221</v>
      </c>
      <c r="E31" t="s">
        <v>775</v>
      </c>
      <c r="F31" t="s">
        <v>1222</v>
      </c>
      <c r="G31" t="s">
        <v>1223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1224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1225</v>
      </c>
      <c r="D32" t="s">
        <v>1226</v>
      </c>
      <c r="E32" t="s">
        <v>775</v>
      </c>
      <c r="F32" t="s">
        <v>1227</v>
      </c>
      <c r="G32" t="s">
        <v>1228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1230</v>
      </c>
      <c r="D33" t="s">
        <v>1231</v>
      </c>
      <c r="E33" t="s">
        <v>775</v>
      </c>
      <c r="F33" t="s">
        <v>1232</v>
      </c>
      <c r="G33" t="s">
        <v>1233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1224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1234</v>
      </c>
      <c r="D34" t="s">
        <v>1235</v>
      </c>
      <c r="E34" t="s">
        <v>775</v>
      </c>
      <c r="F34" t="s">
        <v>1236</v>
      </c>
      <c r="G34" t="s">
        <v>1237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1238</v>
      </c>
      <c r="D35" t="s">
        <v>1239</v>
      </c>
      <c r="E35" t="s">
        <v>775</v>
      </c>
      <c r="F35" t="s">
        <v>1240</v>
      </c>
      <c r="G35" t="s">
        <v>1241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1224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1242</v>
      </c>
      <c r="D36" t="s">
        <v>1243</v>
      </c>
      <c r="E36" t="s">
        <v>775</v>
      </c>
      <c r="F36" t="s">
        <v>1244</v>
      </c>
      <c r="G36" t="s">
        <v>1245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1246</v>
      </c>
      <c r="D37" t="s">
        <v>1247</v>
      </c>
      <c r="E37" t="s">
        <v>775</v>
      </c>
      <c r="F37" t="s">
        <v>1248</v>
      </c>
      <c r="G37" t="s">
        <v>1249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1224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1250</v>
      </c>
      <c r="D38" t="s">
        <v>1251</v>
      </c>
      <c r="E38" t="s">
        <v>775</v>
      </c>
      <c r="F38" t="s">
        <v>1252</v>
      </c>
      <c r="G38" t="s">
        <v>1253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1229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1254</v>
      </c>
    </row>
    <row r="40" spans="1:18">
      <c r="B40">
        <v>405001</v>
      </c>
      <c r="C40" t="s">
        <v>1255</v>
      </c>
      <c r="D40" t="s">
        <v>1256</v>
      </c>
      <c r="E40" t="s">
        <v>775</v>
      </c>
      <c r="F40" t="s">
        <v>1257</v>
      </c>
      <c r="G40" t="s">
        <v>1258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1229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1259</v>
      </c>
    </row>
    <row r="42" spans="1:18">
      <c r="B42">
        <v>406005</v>
      </c>
      <c r="C42" t="s">
        <v>1260</v>
      </c>
      <c r="D42" t="s">
        <v>1261</v>
      </c>
      <c r="E42" t="s">
        <v>1097</v>
      </c>
      <c r="F42" t="s">
        <v>1262</v>
      </c>
      <c r="G42" t="s">
        <v>1263</v>
      </c>
      <c r="H42" t="s">
        <v>1131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1264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1265</v>
      </c>
      <c r="D43" t="s">
        <v>1266</v>
      </c>
      <c r="E43" t="s">
        <v>1097</v>
      </c>
      <c r="F43" t="s">
        <v>1267</v>
      </c>
      <c r="G43" t="s">
        <v>1268</v>
      </c>
      <c r="H43" t="s">
        <v>1131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1270</v>
      </c>
      <c r="D44" t="s">
        <v>1271</v>
      </c>
      <c r="E44" t="s">
        <v>1097</v>
      </c>
      <c r="F44" t="s">
        <v>1272</v>
      </c>
      <c r="G44" t="s">
        <v>1273</v>
      </c>
      <c r="H44" t="s">
        <v>1131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1274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1275</v>
      </c>
      <c r="D45" t="s">
        <v>1169</v>
      </c>
      <c r="E45" t="s">
        <v>1097</v>
      </c>
      <c r="F45" t="s">
        <v>1276</v>
      </c>
      <c r="G45" t="s">
        <v>1277</v>
      </c>
      <c r="H45" t="s">
        <v>1131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1278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1279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1280</v>
      </c>
      <c r="D48" t="s">
        <v>1191</v>
      </c>
      <c r="E48" t="s">
        <v>90</v>
      </c>
      <c r="F48" t="s">
        <v>1192</v>
      </c>
      <c r="G48" t="s">
        <v>1193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1281</v>
      </c>
      <c r="D49" t="s">
        <v>1195</v>
      </c>
      <c r="E49" t="s">
        <v>90</v>
      </c>
      <c r="F49" t="s">
        <v>1196</v>
      </c>
      <c r="G49" t="s">
        <v>1197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1282</v>
      </c>
      <c r="D50" t="s">
        <v>1187</v>
      </c>
      <c r="E50" t="s">
        <v>90</v>
      </c>
      <c r="F50" t="s">
        <v>1188</v>
      </c>
      <c r="G50" t="s">
        <v>1189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1283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1284</v>
      </c>
      <c r="D52" t="s">
        <v>1206</v>
      </c>
      <c r="E52" t="s">
        <v>1201</v>
      </c>
      <c r="F52" t="s">
        <v>1207</v>
      </c>
      <c r="G52" t="s">
        <v>1208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1209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1285</v>
      </c>
      <c r="D53" t="s">
        <v>1211</v>
      </c>
      <c r="E53" t="s">
        <v>1201</v>
      </c>
      <c r="F53" t="s">
        <v>1212</v>
      </c>
      <c r="G53" t="s">
        <v>1213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1209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1286</v>
      </c>
    </row>
    <row r="55" spans="1:18">
      <c r="B55">
        <v>500005</v>
      </c>
      <c r="C55" t="s">
        <v>1287</v>
      </c>
      <c r="D55" t="s">
        <v>1288</v>
      </c>
      <c r="E55" t="s">
        <v>90</v>
      </c>
      <c r="F55" t="s">
        <v>1289</v>
      </c>
      <c r="G55" t="s">
        <v>1290</v>
      </c>
      <c r="H55" t="s">
        <v>1131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1291</v>
      </c>
      <c r="D56" t="s">
        <v>1292</v>
      </c>
      <c r="E56" t="s">
        <v>90</v>
      </c>
      <c r="F56" t="s">
        <v>1293</v>
      </c>
      <c r="G56" t="s">
        <v>1294</v>
      </c>
      <c r="H56" t="s">
        <v>1131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1295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1296</v>
      </c>
      <c r="D58" t="s">
        <v>1297</v>
      </c>
      <c r="E58" t="s">
        <v>90</v>
      </c>
      <c r="F58" t="s">
        <v>1129</v>
      </c>
      <c r="G58" t="s">
        <v>1130</v>
      </c>
      <c r="H58" t="s">
        <v>1131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1298</v>
      </c>
      <c r="D59" t="s">
        <v>1299</v>
      </c>
      <c r="E59" t="s">
        <v>90</v>
      </c>
      <c r="F59" t="s">
        <v>1134</v>
      </c>
      <c r="G59" t="s">
        <v>1135</v>
      </c>
      <c r="H59" t="s">
        <v>1131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1300</v>
      </c>
      <c r="D60" t="s">
        <v>1301</v>
      </c>
      <c r="E60" t="s">
        <v>90</v>
      </c>
      <c r="F60" t="s">
        <v>1138</v>
      </c>
      <c r="G60" t="s">
        <v>1139</v>
      </c>
      <c r="H60" t="s">
        <v>1131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1302</v>
      </c>
      <c r="D61" t="s">
        <v>1303</v>
      </c>
      <c r="E61" t="s">
        <v>90</v>
      </c>
      <c r="F61" t="s">
        <v>1142</v>
      </c>
      <c r="G61" t="s">
        <v>1143</v>
      </c>
      <c r="H61" t="s">
        <v>1131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1304</v>
      </c>
      <c r="D62" t="s">
        <v>1297</v>
      </c>
      <c r="E62" t="s">
        <v>90</v>
      </c>
      <c r="F62" t="s">
        <v>1129</v>
      </c>
      <c r="G62" t="s">
        <v>1130</v>
      </c>
      <c r="H62" t="s">
        <v>1131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1305</v>
      </c>
      <c r="D63" t="s">
        <v>1303</v>
      </c>
      <c r="E63" t="s">
        <v>90</v>
      </c>
      <c r="F63" t="s">
        <v>1142</v>
      </c>
      <c r="G63" t="s">
        <v>1143</v>
      </c>
      <c r="H63" t="s">
        <v>1131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1306</v>
      </c>
      <c r="D64" t="s">
        <v>1303</v>
      </c>
      <c r="E64" t="s">
        <v>90</v>
      </c>
      <c r="F64" t="s">
        <v>1142</v>
      </c>
      <c r="G64" t="s">
        <v>1143</v>
      </c>
      <c r="H64" t="s">
        <v>1131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1307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1308</v>
      </c>
      <c r="D66" t="s">
        <v>1261</v>
      </c>
      <c r="E66" t="s">
        <v>1097</v>
      </c>
      <c r="F66" t="s">
        <v>1262</v>
      </c>
      <c r="G66" t="s">
        <v>1263</v>
      </c>
      <c r="H66" t="s">
        <v>1131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1309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1310</v>
      </c>
      <c r="D67" t="s">
        <v>1266</v>
      </c>
      <c r="E67" t="s">
        <v>1097</v>
      </c>
      <c r="F67" t="s">
        <v>1267</v>
      </c>
      <c r="G67" t="s">
        <v>1268</v>
      </c>
      <c r="H67" t="s">
        <v>1131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1311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1312</v>
      </c>
      <c r="D68" t="s">
        <v>1271</v>
      </c>
      <c r="E68" t="s">
        <v>1097</v>
      </c>
      <c r="F68" t="s">
        <v>1272</v>
      </c>
      <c r="G68" t="s">
        <v>1273</v>
      </c>
      <c r="H68" t="s">
        <v>1131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1313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1314</v>
      </c>
      <c r="D69" t="s">
        <v>1169</v>
      </c>
      <c r="E69" t="s">
        <v>1097</v>
      </c>
      <c r="F69" t="s">
        <v>1276</v>
      </c>
      <c r="G69" t="s">
        <v>1277</v>
      </c>
      <c r="H69" t="s">
        <v>1131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1315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1316</v>
      </c>
      <c r="D70" t="s">
        <v>1261</v>
      </c>
      <c r="E70" t="s">
        <v>1097</v>
      </c>
      <c r="F70" t="s">
        <v>1262</v>
      </c>
      <c r="G70" t="s">
        <v>1263</v>
      </c>
      <c r="H70" t="s">
        <v>1131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1317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1318</v>
      </c>
      <c r="D71" t="s">
        <v>1169</v>
      </c>
      <c r="E71" t="s">
        <v>1097</v>
      </c>
      <c r="F71" t="s">
        <v>1276</v>
      </c>
      <c r="G71" t="s">
        <v>1277</v>
      </c>
      <c r="H71" t="s">
        <v>1131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1319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1320</v>
      </c>
      <c r="D72" t="s">
        <v>1169</v>
      </c>
      <c r="E72" t="s">
        <v>1097</v>
      </c>
      <c r="F72" t="s">
        <v>1276</v>
      </c>
      <c r="G72" t="s">
        <v>1277</v>
      </c>
      <c r="H72" t="s">
        <v>1131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1321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1322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1323</v>
      </c>
      <c r="D74" t="s">
        <v>1324</v>
      </c>
      <c r="E74" t="s">
        <v>775</v>
      </c>
      <c r="F74" t="s">
        <v>1325</v>
      </c>
      <c r="G74" t="s">
        <v>1326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1327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1328</v>
      </c>
      <c r="D75" t="s">
        <v>1329</v>
      </c>
      <c r="E75" t="s">
        <v>775</v>
      </c>
      <c r="F75" t="s">
        <v>1330</v>
      </c>
      <c r="G75" t="s">
        <v>1331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1332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1333</v>
      </c>
      <c r="D76" t="s">
        <v>1334</v>
      </c>
      <c r="E76" t="s">
        <v>775</v>
      </c>
      <c r="F76" t="s">
        <v>1335</v>
      </c>
      <c r="G76" t="s">
        <v>1336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1337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1338</v>
      </c>
      <c r="D77" t="s">
        <v>1339</v>
      </c>
      <c r="E77" t="s">
        <v>775</v>
      </c>
      <c r="F77" t="s">
        <v>1340</v>
      </c>
      <c r="G77" t="s">
        <v>1341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1332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1342</v>
      </c>
      <c r="D78" t="s">
        <v>1343</v>
      </c>
      <c r="E78" t="s">
        <v>775</v>
      </c>
      <c r="F78" t="s">
        <v>1344</v>
      </c>
      <c r="G78" t="s">
        <v>1345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1337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1346</v>
      </c>
      <c r="D79" t="s">
        <v>1347</v>
      </c>
      <c r="E79" t="s">
        <v>775</v>
      </c>
      <c r="F79" t="s">
        <v>1348</v>
      </c>
      <c r="G79" t="s">
        <v>1349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1332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1350</v>
      </c>
      <c r="D80" t="s">
        <v>1351</v>
      </c>
      <c r="E80" t="s">
        <v>775</v>
      </c>
      <c r="F80" t="s">
        <v>1352</v>
      </c>
      <c r="G80" t="s">
        <v>1353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1337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1354</v>
      </c>
      <c r="D81" t="s">
        <v>1355</v>
      </c>
      <c r="E81" t="s">
        <v>775</v>
      </c>
      <c r="F81" t="s">
        <v>1356</v>
      </c>
      <c r="G81" t="s">
        <v>1357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1332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1358</v>
      </c>
    </row>
    <row r="83" spans="1:18">
      <c r="B83">
        <v>700101</v>
      </c>
      <c r="C83" t="s">
        <v>1359</v>
      </c>
      <c r="D83" t="s">
        <v>1360</v>
      </c>
      <c r="E83" t="s">
        <v>775</v>
      </c>
      <c r="F83" t="s">
        <v>1361</v>
      </c>
      <c r="G83" t="s">
        <v>1362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1363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1364</v>
      </c>
      <c r="D84" t="s">
        <v>1365</v>
      </c>
      <c r="E84" t="s">
        <v>775</v>
      </c>
      <c r="F84" t="s">
        <v>1366</v>
      </c>
      <c r="G84" t="s">
        <v>1367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1369</v>
      </c>
      <c r="D85" t="s">
        <v>1370</v>
      </c>
      <c r="E85" t="s">
        <v>775</v>
      </c>
      <c r="F85" t="s">
        <v>1371</v>
      </c>
      <c r="G85" t="s">
        <v>1372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1363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1373</v>
      </c>
      <c r="D86" t="s">
        <v>1374</v>
      </c>
      <c r="E86" t="s">
        <v>775</v>
      </c>
      <c r="F86" t="s">
        <v>1375</v>
      </c>
      <c r="G86" t="s">
        <v>1376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1377</v>
      </c>
      <c r="D87" t="s">
        <v>1378</v>
      </c>
      <c r="E87" t="s">
        <v>775</v>
      </c>
      <c r="F87" t="s">
        <v>1379</v>
      </c>
      <c r="G87" t="s">
        <v>1380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1363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1381</v>
      </c>
      <c r="D88" t="s">
        <v>1382</v>
      </c>
      <c r="E88" t="s">
        <v>775</v>
      </c>
      <c r="F88" t="s">
        <v>1383</v>
      </c>
      <c r="G88" t="s">
        <v>1384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1385</v>
      </c>
      <c r="D89" t="s">
        <v>1386</v>
      </c>
      <c r="E89" t="s">
        <v>775</v>
      </c>
      <c r="F89" t="s">
        <v>1387</v>
      </c>
      <c r="G89" t="s">
        <v>1388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1363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1389</v>
      </c>
      <c r="D90" t="s">
        <v>1390</v>
      </c>
      <c r="E90" t="s">
        <v>775</v>
      </c>
      <c r="F90" t="s">
        <v>1391</v>
      </c>
      <c r="G90" t="s">
        <v>1392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1368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1393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1394</v>
      </c>
      <c r="D92" t="s">
        <v>1395</v>
      </c>
      <c r="E92" t="s">
        <v>775</v>
      </c>
      <c r="F92" t="s">
        <v>1396</v>
      </c>
      <c r="G92" t="s">
        <v>1258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1337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1397</v>
      </c>
    </row>
    <row r="94" spans="1:18">
      <c r="B94">
        <v>701101</v>
      </c>
      <c r="C94" t="s">
        <v>1398</v>
      </c>
      <c r="D94" t="s">
        <v>1399</v>
      </c>
      <c r="E94" t="s">
        <v>775</v>
      </c>
      <c r="F94" t="s">
        <v>1400</v>
      </c>
      <c r="G94" t="s">
        <v>1401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1363</v>
      </c>
      <c r="P94" t="b">
        <v>1</v>
      </c>
      <c r="Q94" t="b">
        <v>0</v>
      </c>
      <c r="R94">
        <v>0</v>
      </c>
    </row>
  </sheetData>
  <conditionalFormatting sqref="I62">
    <cfRule type="cellIs" dxfId="14" priority="50" operator="equal">
      <formula>TRUE</formula>
    </cfRule>
  </conditionalFormatting>
  <conditionalFormatting sqref="N62">
    <cfRule type="cellIs" dxfId="14" priority="48" operator="equal">
      <formula>TRUE</formula>
    </cfRule>
  </conditionalFormatting>
  <conditionalFormatting sqref="P62">
    <cfRule type="containsText" dxfId="15" priority="46" operator="between" text="FALSE">
      <formula>NOT(ISERROR(SEARCH("FALSE",P62)))</formula>
    </cfRule>
  </conditionalFormatting>
  <conditionalFormatting sqref="Q62">
    <cfRule type="cellIs" dxfId="16" priority="47" operator="equal">
      <formula>TRUE</formula>
    </cfRule>
  </conditionalFormatting>
  <conditionalFormatting sqref="I63">
    <cfRule type="cellIs" dxfId="14" priority="45" operator="equal">
      <formula>TRUE</formula>
    </cfRule>
  </conditionalFormatting>
  <conditionalFormatting sqref="N63">
    <cfRule type="cellIs" dxfId="14" priority="43" operator="equal">
      <formula>TRUE</formula>
    </cfRule>
  </conditionalFormatting>
  <conditionalFormatting sqref="P63">
    <cfRule type="containsText" dxfId="15" priority="41" operator="between" text="FALSE">
      <formula>NOT(ISERROR(SEARCH("FALSE",P63)))</formula>
    </cfRule>
  </conditionalFormatting>
  <conditionalFormatting sqref="Q63">
    <cfRule type="cellIs" dxfId="16" priority="42" operator="equal">
      <formula>TRUE</formula>
    </cfRule>
  </conditionalFormatting>
  <conditionalFormatting sqref="I64">
    <cfRule type="cellIs" dxfId="14" priority="30" operator="equal">
      <formula>TRUE</formula>
    </cfRule>
  </conditionalFormatting>
  <conditionalFormatting sqref="N64">
    <cfRule type="cellIs" dxfId="14" priority="28" operator="equal">
      <formula>TRUE</formula>
    </cfRule>
  </conditionalFormatting>
  <conditionalFormatting sqref="P64">
    <cfRule type="containsText" dxfId="15" priority="26" operator="between" text="FALSE">
      <formula>NOT(ISERROR(SEARCH("FALSE",P64)))</formula>
    </cfRule>
  </conditionalFormatting>
  <conditionalFormatting sqref="Q64">
    <cfRule type="cellIs" dxfId="16" priority="27" operator="equal">
      <formula>TRUE</formula>
    </cfRule>
  </conditionalFormatting>
  <conditionalFormatting sqref="I70">
    <cfRule type="cellIs" dxfId="14" priority="40" operator="equal">
      <formula>TRUE</formula>
    </cfRule>
  </conditionalFormatting>
  <conditionalFormatting sqref="N70">
    <cfRule type="cellIs" dxfId="14" priority="38" operator="equal">
      <formula>TRUE</formula>
    </cfRule>
  </conditionalFormatting>
  <conditionalFormatting sqref="P70">
    <cfRule type="containsText" dxfId="15" priority="36" operator="between" text="FALSE">
      <formula>NOT(ISERROR(SEARCH("FALSE",P70)))</formula>
    </cfRule>
  </conditionalFormatting>
  <conditionalFormatting sqref="Q70">
    <cfRule type="cellIs" dxfId="16" priority="37" operator="equal">
      <formula>TRUE</formula>
    </cfRule>
  </conditionalFormatting>
  <conditionalFormatting sqref="I71">
    <cfRule type="cellIs" dxfId="14" priority="35" operator="equal">
      <formula>TRUE</formula>
    </cfRule>
  </conditionalFormatting>
  <conditionalFormatting sqref="N71">
    <cfRule type="cellIs" dxfId="14" priority="33" operator="equal">
      <formula>TRUE</formula>
    </cfRule>
  </conditionalFormatting>
  <conditionalFormatting sqref="P71">
    <cfRule type="containsText" dxfId="15" priority="31" operator="between" text="FALSE">
      <formula>NOT(ISERROR(SEARCH("FALSE",P71)))</formula>
    </cfRule>
  </conditionalFormatting>
  <conditionalFormatting sqref="Q71">
    <cfRule type="cellIs" dxfId="16" priority="32" operator="equal">
      <formula>TRUE</formula>
    </cfRule>
  </conditionalFormatting>
  <conditionalFormatting sqref="I72">
    <cfRule type="cellIs" dxfId="14" priority="25" operator="equal">
      <formula>TRUE</formula>
    </cfRule>
  </conditionalFormatting>
  <conditionalFormatting sqref="N72">
    <cfRule type="cellIs" dxfId="14" priority="23" operator="equal">
      <formula>TRUE</formula>
    </cfRule>
  </conditionalFormatting>
  <conditionalFormatting sqref="P72">
    <cfRule type="containsText" dxfId="15" priority="21" operator="between" text="FALSE">
      <formula>NOT(ISERROR(SEARCH("FALSE",P72)))</formula>
    </cfRule>
  </conditionalFormatting>
  <conditionalFormatting sqref="Q72">
    <cfRule type="cellIs" dxfId="16" priority="22" operator="equal">
      <formula>TRUE</formula>
    </cfRule>
  </conditionalFormatting>
  <conditionalFormatting sqref="I13:I16">
    <cfRule type="cellIs" dxfId="14" priority="10" operator="equal">
      <formula>TRUE</formula>
    </cfRule>
  </conditionalFormatting>
  <conditionalFormatting sqref="I17:I20">
    <cfRule type="cellIs" dxfId="14" priority="5" operator="equal">
      <formula>TRUE</formula>
    </cfRule>
  </conditionalFormatting>
  <conditionalFormatting sqref="N13:N16">
    <cfRule type="cellIs" dxfId="14" priority="8" operator="equal">
      <formula>TRUE</formula>
    </cfRule>
  </conditionalFormatting>
  <conditionalFormatting sqref="N17:N20">
    <cfRule type="cellIs" dxfId="14" priority="3" operator="equal">
      <formula>TRUE</formula>
    </cfRule>
  </conditionalFormatting>
  <conditionalFormatting sqref="P13:P16">
    <cfRule type="containsText" dxfId="15" priority="6" operator="between" text="FALSE">
      <formula>NOT(ISERROR(SEARCH("FALSE",P13)))</formula>
    </cfRule>
  </conditionalFormatting>
  <conditionalFormatting sqref="P17:P20">
    <cfRule type="containsText" dxfId="15" priority="1" operator="between" text="FALSE">
      <formula>NOT(ISERROR(SEARCH("FALSE",P17)))</formula>
    </cfRule>
  </conditionalFormatting>
  <conditionalFormatting sqref="Q13:Q16">
    <cfRule type="cellIs" dxfId="16" priority="7" operator="equal">
      <formula>TRUE</formula>
    </cfRule>
  </conditionalFormatting>
  <conditionalFormatting sqref="Q17:Q20">
    <cfRule type="cellIs" dxfId="16" priority="2" operator="equal">
      <formula>TRUE</formula>
    </cfRule>
  </conditionalFormatting>
  <conditionalFormatting sqref="I1:I12 I21:I61 I65:I69 I73:I1048576">
    <cfRule type="cellIs" dxfId="14" priority="55" operator="equal">
      <formula>TRUE</formula>
    </cfRule>
  </conditionalFormatting>
  <conditionalFormatting sqref="N1:N12 N21:N61 N65:N69 N73:N1048576">
    <cfRule type="cellIs" dxfId="14" priority="53" operator="equal">
      <formula>TRUE</formula>
    </cfRule>
  </conditionalFormatting>
  <conditionalFormatting sqref="P1:P12 P21:P61 P65:P69 P73:P1048576">
    <cfRule type="containsText" dxfId="15" priority="51" operator="between" text="FALSE">
      <formula>NOT(ISERROR(SEARCH("FALSE",P1)))</formula>
    </cfRule>
  </conditionalFormatting>
  <conditionalFormatting sqref="Q1:Q12 Q21:Q61 Q65:Q69 Q73:Q1048576">
    <cfRule type="cellIs" dxfId="16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49f9efb7-d0c8-414c-ba11-0f8eb78e8198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aee4a3b5-d03a-4f37-b79c-661959e8915a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6b014290-d447-435e-9438-beb3b698dda1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6b39e71d-f822-471f-af13-90a78768e535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dd047a01-9b84-4675-81f4-4909f280f661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813bd0e1-ad11-4ced-b969-b78fd949d4ad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55703813-4541-4659-976d-c7154c482115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911ad369-3e85-4ce3-887f-60b13982560d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459c31c3-7ae8-43b9-a703-2f29ab1bae9e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1402</v>
      </c>
      <c r="D1" t="s">
        <v>1403</v>
      </c>
      <c r="E1" s="1" t="s">
        <v>1089</v>
      </c>
      <c r="F1" s="2" t="s">
        <v>1404</v>
      </c>
      <c r="G1" t="s">
        <v>1405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711</v>
      </c>
      <c r="C4" s="5" t="s">
        <v>1406</v>
      </c>
      <c r="D4" s="5" t="s">
        <v>1407</v>
      </c>
      <c r="E4" s="6" t="s">
        <v>1408</v>
      </c>
      <c r="F4" s="7" t="s">
        <v>750</v>
      </c>
      <c r="G4" s="8" t="s">
        <v>752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1409</v>
      </c>
      <c r="F5" s="2" t="s">
        <v>751</v>
      </c>
      <c r="G5" s="5" t="s">
        <v>1410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1411</v>
      </c>
      <c r="F6" s="2" t="s">
        <v>1412</v>
      </c>
      <c r="G6" t="s">
        <v>1413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1414</v>
      </c>
      <c r="F7" s="11" t="s">
        <v>1415</v>
      </c>
      <c r="G7" s="12" t="s">
        <v>1416</v>
      </c>
    </row>
    <row r="8" ht="84" customHeight="1" spans="1:7">
      <c r="B8">
        <v>1003</v>
      </c>
      <c r="C8">
        <v>201000</v>
      </c>
      <c r="D8">
        <v>209999</v>
      </c>
      <c r="E8" s="1" t="s">
        <v>1417</v>
      </c>
      <c r="F8" s="2" t="s">
        <v>1418</v>
      </c>
      <c r="G8" s="5" t="s">
        <v>1419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1420</v>
      </c>
      <c r="F9" s="2" t="s">
        <v>1421</v>
      </c>
      <c r="G9" t="s">
        <v>1422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1423</v>
      </c>
      <c r="F10" s="11" t="s">
        <v>1424</v>
      </c>
      <c r="G10" s="9" t="s">
        <v>1425</v>
      </c>
    </row>
    <row r="11" ht="67" customHeight="1" spans="1:7">
      <c r="B11">
        <v>1005</v>
      </c>
      <c r="C11">
        <v>300000</v>
      </c>
      <c r="D11">
        <v>399999</v>
      </c>
      <c r="E11" s="1" t="s">
        <v>1426</v>
      </c>
      <c r="F11" s="2" t="s">
        <v>1427</v>
      </c>
      <c r="G11" t="s">
        <v>1425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1428</v>
      </c>
      <c r="F12" s="11" t="s">
        <v>1429</v>
      </c>
      <c r="G12" s="9" t="s">
        <v>1430</v>
      </c>
    </row>
    <row r="13" ht="60" customHeight="1" spans="1:7">
      <c r="B13">
        <v>1006</v>
      </c>
      <c r="C13">
        <v>301000</v>
      </c>
      <c r="D13">
        <v>301999</v>
      </c>
      <c r="E13" s="1" t="s">
        <v>1431</v>
      </c>
      <c r="F13" s="2" t="s">
        <v>1432</v>
      </c>
      <c r="G13" t="s">
        <v>1430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1433</v>
      </c>
      <c r="F14" s="2" t="s">
        <v>1434</v>
      </c>
      <c r="G14" t="s">
        <v>1435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1436</v>
      </c>
      <c r="F15" s="2" t="s">
        <v>1437</v>
      </c>
      <c r="G15" t="s">
        <v>1438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1439</v>
      </c>
      <c r="F16" s="2" t="s">
        <v>1440</v>
      </c>
      <c r="G16" t="s">
        <v>1441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1442</v>
      </c>
      <c r="F17" s="2" t="s">
        <v>1443</v>
      </c>
      <c r="G17" t="s">
        <v>1444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1445</v>
      </c>
      <c r="F18" s="2" t="s">
        <v>1446</v>
      </c>
      <c r="G18" t="s">
        <v>1447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1448</v>
      </c>
      <c r="F19" s="2" t="s">
        <v>1449</v>
      </c>
      <c r="G19" t="s">
        <v>1450</v>
      </c>
    </row>
    <row r="20" ht="52.2" spans="1:7">
      <c r="B20">
        <v>1033</v>
      </c>
      <c r="C20">
        <v>500001</v>
      </c>
      <c r="D20">
        <v>500999</v>
      </c>
      <c r="E20" s="6" t="s">
        <v>1451</v>
      </c>
      <c r="F20" s="2" t="s">
        <v>1452</v>
      </c>
      <c r="G20" t="s">
        <v>1453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1454</v>
      </c>
      <c r="F21" s="2" t="s">
        <v>1455</v>
      </c>
      <c r="G21" t="s">
        <v>1456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1457</v>
      </c>
      <c r="F22" s="2" t="s">
        <v>1458</v>
      </c>
      <c r="G22" t="s">
        <v>1459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1460</v>
      </c>
      <c r="F23" s="2" t="s">
        <v>1461</v>
      </c>
      <c r="G23" t="s">
        <v>1462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1463</v>
      </c>
      <c r="F24" s="2" t="s">
        <v>1464</v>
      </c>
      <c r="G24" t="s">
        <v>1465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1466</v>
      </c>
      <c r="F25" s="2" t="s">
        <v>1467</v>
      </c>
      <c r="G25" t="s">
        <v>1468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1469</v>
      </c>
      <c r="F26" s="2" t="s">
        <v>1470</v>
      </c>
      <c r="G26" t="s">
        <v>1471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1472</v>
      </c>
      <c r="F27" s="2" t="s">
        <v>1473</v>
      </c>
      <c r="G27" t="s">
        <v>1474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1475</v>
      </c>
      <c r="F28" s="2" t="s">
        <v>1476</v>
      </c>
      <c r="G28" t="s">
        <v>1477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1478</v>
      </c>
      <c r="F29" s="2" t="s">
        <v>1479</v>
      </c>
      <c r="G29" t="s">
        <v>1480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1481</v>
      </c>
      <c r="F30" s="2" t="s">
        <v>1482</v>
      </c>
      <c r="G30" t="s">
        <v>1483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1484</v>
      </c>
      <c r="F31" s="11" t="s">
        <v>1485</v>
      </c>
      <c r="G31" s="9" t="s">
        <v>1486</v>
      </c>
    </row>
    <row r="32" ht="52.2" spans="1:7">
      <c r="B32">
        <v>1023</v>
      </c>
      <c r="C32">
        <v>700000</v>
      </c>
      <c r="D32">
        <v>700999</v>
      </c>
      <c r="E32" s="6" t="s">
        <v>1487</v>
      </c>
      <c r="F32" s="2" t="s">
        <v>1488</v>
      </c>
      <c r="G32" t="s">
        <v>1489</v>
      </c>
    </row>
    <row r="33" ht="34.8" spans="1:7">
      <c r="B33">
        <v>1029</v>
      </c>
      <c r="C33">
        <v>700000</v>
      </c>
      <c r="D33">
        <v>700099</v>
      </c>
      <c r="E33" s="2" t="s">
        <v>1490</v>
      </c>
      <c r="F33" s="2" t="s">
        <v>1491</v>
      </c>
      <c r="G33" t="s">
        <v>1492</v>
      </c>
    </row>
    <row r="34" ht="34.8" spans="1:7">
      <c r="B34">
        <v>1030</v>
      </c>
      <c r="C34">
        <v>700100</v>
      </c>
      <c r="D34">
        <v>700999</v>
      </c>
      <c r="E34" s="2" t="s">
        <v>1493</v>
      </c>
      <c r="F34" s="2" t="s">
        <v>1494</v>
      </c>
      <c r="G34" t="s">
        <v>1495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1496</v>
      </c>
      <c r="F35" s="11" t="s">
        <v>1497</v>
      </c>
      <c r="G35" s="9" t="s">
        <v>1498</v>
      </c>
    </row>
    <row r="36" ht="71" customHeight="1" spans="1:7">
      <c r="B36">
        <v>1024</v>
      </c>
      <c r="C36">
        <v>701000</v>
      </c>
      <c r="D36">
        <v>701999</v>
      </c>
      <c r="E36" s="6" t="s">
        <v>1499</v>
      </c>
      <c r="F36" s="2" t="s">
        <v>1500</v>
      </c>
      <c r="G36" t="s">
        <v>1501</v>
      </c>
    </row>
    <row r="37" ht="71" customHeight="1" spans="1:7">
      <c r="B37">
        <v>1031</v>
      </c>
      <c r="C37">
        <v>701000</v>
      </c>
      <c r="D37">
        <v>701099</v>
      </c>
      <c r="E37" s="2" t="s">
        <v>1502</v>
      </c>
      <c r="F37" s="2" t="s">
        <v>1503</v>
      </c>
      <c r="G37" t="s">
        <v>1504</v>
      </c>
    </row>
    <row r="38" ht="71" customHeight="1" spans="1:7">
      <c r="B38">
        <v>1032</v>
      </c>
      <c r="C38">
        <v>701100</v>
      </c>
      <c r="D38">
        <v>701999</v>
      </c>
      <c r="E38" s="2" t="s">
        <v>1505</v>
      </c>
      <c r="F38" s="2" t="s">
        <v>1497</v>
      </c>
      <c r="G38" t="s">
        <v>1506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1507</v>
      </c>
      <c r="F39" s="2" t="s">
        <v>1508</v>
      </c>
      <c r="G39" t="s">
        <v>1509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1510</v>
      </c>
      <c r="F40" s="2" t="s">
        <v>1511</v>
      </c>
      <c r="G40" t="s">
        <v>1512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1513</v>
      </c>
      <c r="F41" s="2" t="s">
        <v>1514</v>
      </c>
      <c r="G41" t="s">
        <v>783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1515</v>
      </c>
      <c r="F42" s="2" t="s">
        <v>1516</v>
      </c>
      <c r="G42" t="s">
        <v>1517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2026-10-19T12:59:43Z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