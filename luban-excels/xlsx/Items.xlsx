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812" activeTab="3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RefreshmentConfig" sheetId="20" r:id="rId8"/>
    <sheet name="TabGroup" sheetId="8" r:id="rId9"/>
    <sheet name="EquipmentSlotConfig" sheetId="10" r:id="rId10"/>
    <sheet name="LinkTree" sheetId="17" r:id="rId11"/>
    <sheet name="SteamItemDef" sheetId="18" r:id="rId12"/>
    <sheet name="SteamItemDefIdRange" sheetId="19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<sst xmlns="http://schemas.openxmlformats.org/spreadsheetml/2006/main" count="2966" uniqueCount="1286">
  <si>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</si>
  <si>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</si>
  <si>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</si>
  <si>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</si>
  <si>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</si>
  <si>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</si>
  <si>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</si>
  <si>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</si>
  <si>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IsHiddenInBag</t>
  </si>
  <si>
    <t>AcquisitionType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</si>
  <si>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</si>
  <si>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</si>
  <si>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</si>
  <si>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</si>
  <si>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</si>
  <si>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</si>
  <si>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</si>
  <si>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</si>
  <si>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</si>
  <si>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</si>
  <si>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</si>
  <si>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</si>
  <si>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</si>
  <si>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</si>
  <si>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</si>
  <si>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</si>
  <si>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</si>
  <si>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</si>
  <si>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</si>
  <si>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</si>
  <si>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</si>
  <si>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</si>
  <si>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</si>
  <si>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</si>
  <si>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</si>
  <si>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</si>
  <si>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</si>
  <si>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</si>
  <si>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</si>
  <si>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</si>
  <si>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</si>
  <si>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</si>
  <si>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</si>
  <si>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</si>
  <si>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</si>
  <si>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</si>
  <si>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</si>
  <si>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</si>
  <si>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</si>
  <si>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</si>
  <si>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</si>
  <si>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</si>
  <si>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</si>
  <si>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</si>
  <si>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</si>
  <si>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</si>
  <si>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</si>
  <si>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</si>
  <si>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</si>
  <si>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</si>
  <si>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</si>
  <si>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</si>
  <si>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</si>
  <si>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</si>
  <si>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</si>
  <si>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</si>
  <si>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</si>
  <si>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</si>
  <si>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</si>
  <si>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</si>
  <si>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</si>
  <si>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</si>
  <si>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</si>
  <si>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</si>
  <si>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</si>
  <si>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</si>
  <si>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</si>
  <si>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</si>
  <si>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</si>
  <si>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</si>
  <si>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</si>
  <si>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</si>
  <si>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</si>
  <si>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</si>
  <si>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</si>
  <si>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</si>
  <si>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</si>
  <si>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</si>
  <si>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</si>
  <si>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</si>
  <si>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赤柴</t>
  </si>
  <si>
    <t>Dog</t>
  </si>
  <si>
    <t>普通</t>
  </si>
  <si>
    <t>初始拥有</t>
  </si>
  <si>
    <t>v1\Shiba\Red\</t>
  </si>
  <si>
    <t>v1\ItemIcon\Shiba_Red.png</t>
  </si>
  <si>
    <t>Item</t>
  </si>
  <si>
    <t>Black and Tan Shiba Inu</t>
  </si>
  <si>
    <t>黑柴</t>
  </si>
  <si>
    <t>神话</t>
  </si>
  <si>
    <t>装扮盲盒产出</t>
  </si>
  <si>
    <t>v1\Shiba\Black\</t>
  </si>
  <si>
    <t>v1\ItemIcon\Shiba_Black.png</t>
  </si>
  <si>
    <t>Cream Shiba Inu</t>
  </si>
  <si>
    <t>白柴</t>
  </si>
  <si>
    <t>史诗</t>
  </si>
  <si>
    <t>v1\Shiba\Cream\</t>
  </si>
  <si>
    <t>v1\ItemIcon\Shiba_Cream.png</t>
  </si>
  <si>
    <t>Sesame Shiba Inu</t>
  </si>
  <si>
    <t>胡麻柴</t>
  </si>
  <si>
    <t>传说</t>
  </si>
  <si>
    <t>v1\Shiba\Sesame\</t>
  </si>
  <si>
    <t>v1\ItemIcon\Shiba_Sesame.png</t>
  </si>
  <si>
    <t>Skinny Red Shiba Inu</t>
  </si>
  <si>
    <t>瘦赤柴</t>
  </si>
  <si>
    <t>v1\ItemIcon\Shiba_ThinRed.png</t>
  </si>
  <si>
    <t>Unshaven Red Shiba Inu</t>
  </si>
  <si>
    <t>胡渣赤柴</t>
  </si>
  <si>
    <t>v1\ItemIcon\Shiba_UnshavenRed.png</t>
  </si>
  <si>
    <t>Sharp-faced Black and Tan Shiba Inu</t>
  </si>
  <si>
    <t>瘦黑柴</t>
  </si>
  <si>
    <t>稀有</t>
  </si>
  <si>
    <t>v1\ItemIcon\Shiba_ThinBlack.png</t>
  </si>
  <si>
    <t>胡渣黑柴</t>
  </si>
  <si>
    <t>v1\ItemIcon\Shiba_UnshavenBlack.png</t>
  </si>
  <si>
    <t>Skinny Cream Shiba Inu</t>
  </si>
  <si>
    <t>瘦白柴</t>
  </si>
  <si>
    <t>v1\ItemIcon\Shiba_ThinCream.png</t>
  </si>
  <si>
    <t>Unshaven Cream Shiba Inu</t>
  </si>
  <si>
    <t>胡渣白柴</t>
  </si>
  <si>
    <t>v1\ItemIcon\Shiba_UnshavenCream.png</t>
  </si>
  <si>
    <t>Sharp-faced Sesame Shiba Inu</t>
  </si>
  <si>
    <t>瘦胡麻柴</t>
  </si>
  <si>
    <t>v1\ItemIcon\Shiba_ThinSesame.png</t>
  </si>
  <si>
    <t>Unshaven Sesame Shiba Inu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</si>
  <si>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</si>
  <si>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</si>
  <si>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</si>
  <si>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</si>
  <si>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</si>
  <si>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</si>
  <si>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</si>
  <si>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</si>
  <si>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</si>
  <si>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</si>
  <si>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</si>
  <si>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</si>
  <si>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</si>
  <si>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</si>
  <si>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</si>
  <si>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</si>
  <si>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</si>
  <si>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</si>
  <si>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</si>
  <si>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</si>
  <si>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</si>
  <si>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</si>
  <si>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</si>
  <si>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</si>
  <si>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</si>
  <si>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</si>
  <si>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</si>
  <si>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</si>
  <si>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</si>
  <si>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</si>
  <si>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</si>
  <si>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</si>
  <si>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</si>
  <si>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</si>
  <si>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</si>
  <si>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</si>
  <si>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</si>
  <si>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</si>
  <si>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</si>
  <si>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</si>
  <si>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</si>
  <si>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</si>
  <si>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</si>
  <si>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</si>
  <si>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</si>
  <si>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</si>
  <si>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</si>
  <si>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</si>
  <si>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</si>
  <si>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</si>
  <si>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</si>
  <si>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</si>
  <si>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</si>
  <si>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</si>
  <si>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</si>
  <si>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</si>
  <si>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</si>
  <si>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</si>
  <si>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</si>
  <si>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</si>
  <si>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</si>
  <si>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</si>
  <si>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</si>
  <si>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</si>
  <si>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</si>
  <si>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</si>
  <si>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</si>
  <si>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</si>
  <si>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</si>
  <si>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</si>
  <si>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</si>
  <si>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</si>
  <si>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</si>
  <si>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</si>
  <si>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</si>
  <si>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</si>
  <si>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</si>
  <si>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</si>
  <si>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</si>
  <si>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</si>
  <si>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</si>
  <si>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</si>
  <si>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</si>
  <si>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</si>
  <si>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</si>
  <si>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</si>
  <si>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</si>
  <si>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</si>
  <si>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</si>
  <si>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</si>
  <si>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</si>
  <si>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</si>
  <si>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</si>
  <si>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</si>
  <si>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</si>
  <si>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</si>
  <si>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</si>
  <si>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</si>
  <si>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</si>
  <si>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</si>
  <si>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</si>
  <si>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</si>
  <si>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</si>
  <si>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</si>
  <si>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</si>
  <si>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</si>
  <si>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</si>
  <si>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</si>
  <si>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</si>
  <si>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</si>
  <si>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</si>
  <si>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</si>
  <si>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</si>
  <si>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</si>
  <si>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</si>
  <si>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</si>
  <si>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</si>
  <si>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</si>
  <si>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</si>
  <si>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</si>
  <si>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</si>
  <si>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</si>
  <si>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</si>
  <si>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</si>
  <si>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</si>
  <si>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</si>
  <si>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</si>
  <si>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</si>
  <si>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</si>
  <si>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</si>
  <si>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</si>
  <si>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</si>
  <si>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</si>
  <si>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</si>
  <si>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</si>
  <si>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</si>
  <si>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</si>
  <si>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</si>
  <si>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</si>
  <si>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</si>
  <si>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</si>
  <si>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</si>
  <si>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</si>
  <si>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</si>
  <si>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</si>
  <si>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</si>
  <si>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</si>
  <si>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</si>
  <si>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</si>
  <si>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</si>
  <si>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</si>
  <si>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</si>
  <si>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</si>
  <si>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</si>
  <si>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</si>
  <si>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</si>
  <si>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</si>
  <si>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</si>
  <si>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</si>
  <si>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</si>
  <si>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</si>
  <si>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</si>
  <si>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</si>
  <si>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</si>
  <si>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</si>
  <si>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</si>
  <si>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</si>
  <si>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</si>
  <si>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</si>
  <si>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</si>
  <si>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</si>
  <si>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</si>
  <si>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</si>
  <si>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</si>
  <si>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</si>
  <si>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</si>
  <si>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</si>
  <si>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</si>
  <si>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</si>
  <si>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</si>
  <si>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</si>
  <si>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</si>
  <si>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</si>
  <si>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</si>
  <si>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</si>
  <si>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</si>
  <si>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</si>
  <si>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</si>
  <si>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</si>
  <si>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</si>
  <si>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</si>
  <si>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</si>
  <si>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</si>
  <si>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</si>
  <si>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</si>
  <si>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</si>
  <si>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</si>
  <si>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</si>
  <si>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</si>
  <si>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</si>
  <si>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</si>
  <si>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</si>
  <si>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</si>
  <si>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</si>
  <si>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</si>
  <si>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</si>
  <si>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</si>
  <si>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</si>
  <si>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</si>
  <si>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</si>
  <si>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</si>
  <si>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</si>
  <si>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</si>
  <si>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</si>
  <si>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</si>
  <si>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</si>
  <si>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</si>
  <si>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</si>
  <si>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</si>
  <si>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</si>
  <si>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</si>
  <si>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</si>
  <si>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</si>
  <si>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</si>
  <si>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</si>
  <si>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</si>
  <si>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</si>
  <si>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</si>
  <si>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</si>
  <si>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</si>
  <si>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</si>
  <si>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</si>
  <si>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</si>
  <si>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</si>
  <si>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</si>
  <si>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</si>
  <si>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</si>
  <si>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</si>
  <si>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</si>
  <si>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</si>
  <si>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</si>
  <si>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</si>
  <si>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</si>
  <si>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</si>
  <si>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</si>
  <si>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</si>
  <si>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</si>
  <si>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</si>
  <si>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</si>
  <si>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</si>
  <si>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</si>
  <si>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</si>
  <si>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</si>
  <si>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</si>
  <si>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</si>
  <si>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</si>
  <si>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</si>
  <si>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</si>
  <si>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</si>
  <si>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</si>
  <si>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</si>
  <si>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</si>
  <si>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</si>
  <si>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</si>
  <si>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</si>
  <si>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</si>
  <si>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</si>
  <si>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</si>
  <si>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</si>
  <si>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</si>
  <si>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</si>
  <si>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</si>
  <si>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</si>
  <si>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</si>
  <si>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</si>
  <si>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</si>
  <si>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</si>
  <si>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</si>
  <si>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</si>
  <si>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</si>
  <si>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</si>
  <si>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</si>
  <si>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</si>
  <si>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</si>
  <si>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</si>
  <si>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</si>
  <si>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</si>
  <si>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</si>
  <si>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</si>
  <si>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</si>
  <si>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</si>
  <si>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</si>
  <si>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</si>
  <si>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</si>
  <si>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</si>
  <si>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</si>
  <si>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</si>
  <si>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</si>
  <si>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</si>
  <si>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</si>
  <si>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</si>
  <si>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</si>
  <si>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</si>
  <si>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</si>
  <si>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</si>
  <si>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</si>
  <si>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</si>
  <si>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</si>
  <si>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</si>
  <si>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</si>
  <si>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</si>
  <si>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</si>
  <si>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</si>
  <si>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</si>
  <si>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</si>
  <si>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</si>
  <si>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</si>
  <si>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</si>
  <si>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</si>
  <si>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</si>
  <si>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</si>
  <si>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</si>
  <si>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</si>
  <si>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</si>
  <si>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</si>
  <si>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</si>
  <si>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</si>
  <si>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</si>
  <si>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</si>
  <si>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</si>
  <si>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</si>
  <si>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</si>
  <si>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</si>
  <si>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</si>
  <si>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</si>
  <si>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</si>
  <si>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</si>
  <si>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</si>
  <si>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</si>
  <si>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</si>
  <si>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</si>
  <si>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</si>
  <si>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</si>
  <si>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</si>
  <si>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</si>
  <si>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</si>
  <si>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</si>
  <si>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</si>
  <si>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</si>
  <si>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</si>
  <si>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</si>
  <si>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</si>
  <si>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</si>
  <si>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</si>
  <si>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</si>
  <si>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</si>
  <si>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</si>
  <si>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</si>
  <si>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</si>
  <si>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</si>
  <si>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</si>
  <si>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</si>
  <si>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</si>
  <si>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</si>
  <si>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</si>
  <si>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</si>
  <si>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</si>
  <si>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</si>
  <si>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</si>
  <si>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</si>
  <si>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</si>
  <si>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测试活动功能帽</t>
  </si>
  <si>
    <t>特殊1</t>
  </si>
  <si>
    <t>活动产出</t>
  </si>
  <si>
    <t>测试活动功能使用</t>
  </si>
  <si>
    <t>Unshaven Sesame</t>
  </si>
  <si>
    <t>测试活动功能柴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</si>
  <si>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</si>
  <si>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</si>
  <si>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</si>
  <si>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</si>
  <si>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</si>
  <si>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</si>
  <si>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</si>
  <si>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</si>
  <si>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</si>
  <si>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</si>
  <si>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</si>
  <si>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</si>
  <si>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</si>
  <si>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</si>
  <si>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</si>
  <si>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</si>
  <si>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</si>
  <si>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</si>
  <si>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</si>
  <si>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</si>
  <si>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</si>
  <si>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</si>
  <si>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</si>
  <si>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</si>
  <si>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</si>
  <si>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</si>
  <si>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</si>
  <si>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</si>
  <si>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</si>
  <si>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</si>
  <si>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</si>
  <si>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</si>
  <si>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</si>
  <si>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</si>
  <si>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</si>
  <si>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</si>
  <si>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</si>
  <si>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</si>
  <si>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</si>
  <si>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</si>
  <si>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</si>
  <si>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</si>
  <si>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</si>
  <si>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</si>
  <si>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</si>
  <si>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</si>
  <si>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</si>
  <si>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</si>
  <si>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</si>
  <si>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</si>
  <si>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</si>
  <si>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</si>
  <si>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</si>
  <si>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</si>
  <si>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</si>
  <si>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</si>
  <si>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</si>
  <si>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</si>
  <si>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</si>
  <si>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</si>
  <si>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</si>
  <si>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</si>
  <si>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</si>
  <si>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</si>
  <si>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</si>
  <si>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</si>
  <si>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</si>
  <si>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</si>
  <si>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</si>
  <si>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</si>
  <si>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</si>
  <si>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</si>
  <si>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</si>
  <si>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</si>
  <si>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</si>
  <si>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</si>
  <si>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</si>
  <si>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</si>
  <si>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</si>
  <si>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</si>
  <si>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</si>
  <si>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</si>
  <si>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</si>
  <si>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</si>
  <si>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</si>
  <si>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</si>
  <si>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</si>
  <si>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</si>
  <si>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</si>
  <si>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</si>
  <si>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</si>
  <si>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</si>
  <si>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</si>
  <si>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</si>
  <si>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</si>
  <si>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</si>
  <si>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</si>
  <si>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</si>
  <si>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</si>
  <si>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</si>
  <si>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</si>
  <si>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</si>
  <si>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</si>
  <si>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</si>
  <si>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</si>
  <si>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</si>
  <si>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</si>
  <si>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</si>
  <si>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</si>
  <si>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</si>
  <si>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</si>
  <si>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</si>
  <si>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</si>
  <si>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</si>
  <si>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</si>
  <si>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</si>
  <si>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</si>
  <si>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</si>
  <si>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</si>
  <si>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</si>
  <si>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BoxType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</si>
  <si>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</si>
  <si>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</si>
  <si>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</si>
  <si>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</si>
  <si>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</si>
  <si>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</si>
  <si>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</si>
  <si>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</si>
  <si>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EBlindBoxType</t>
  </si>
  <si>
    <t>EBlindBoxDisplayMode</t>
  </si>
  <si>
    <t>EBlindBoxValueMode</t>
  </si>
  <si>
    <t>float</t>
  </si>
  <si>
    <t>BlindBox.Id &lt;= 29999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</si>
  <si>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</si>
  <si>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</si>
  <si>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</si>
  <si>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</si>
  <si>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</si>
  <si>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</si>
  <si>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</si>
  <si>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</si>
  <si>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奖励盒ID</t>
  </si>
  <si>
    <t>奖励盒名称</t>
  </si>
  <si>
    <t>奖励盒类型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</si>
  <si>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</si>
  <si>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</si>
  <si>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</si>
  <si>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</si>
  <si>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</si>
  <si>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</si>
  <si>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</si>
  <si>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标准盲盒</t>
  </si>
  <si>
    <t>装扮盲盒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</si>
  <si>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</si>
  <si>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</si>
  <si>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</si>
  <si>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</si>
  <si>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</si>
  <si>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</si>
  <si>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</si>
  <si>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</si>
  <si>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</si>
  <si>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Count</t>
  </si>
  <si>
    <t>Old盲盒招待券专用（归档）</t>
  </si>
  <si>
    <t>UI\BlindBox\HintIcon_Common_Ticket.png</t>
  </si>
  <si>
    <t>BlindBoxId</t>
  </si>
  <si>
    <t>FallbackBlindBoxId</t>
  </si>
  <si>
    <t>IsLoopTrack</t>
  </si>
  <si>
    <t>StartSeconds</t>
  </si>
  <si>
    <t>IntervalSeconds</t>
  </si>
  <si>
    <t>MaxGrantCount</t>
  </si>
  <si>
    <t>SteamPlaytimeGeneratorItemDefId</t>
  </si>
  <si>
    <t>SteamDropIntervalSeconds</t>
  </si>
  <si>
    <t>SteamDropWindowSeconds</t>
  </si>
  <si>
    <t>SteamDropMaxPerWindow</t>
  </si>
  <si>
    <t>CostChipsOverride</t>
  </si>
  <si>
    <t>SteamCompletionReceiptItemDefId</t>
  </si>
  <si>
    <t>对应 BlindBox.Id</t>
  </si>
  <si>
    <t>TRUE 表示正常阶段循环装扮奖励准备行</t>
  </si>
  <si>
    <t>客户端用时间，负责展示气球，以及后台提前准备奖励</t>
  </si>
  <si>
    <t>非循环行为相对上次领取间隔；循环行为 Steam 直接奖励掉落间隔</t>
  </si>
  <si>
    <t>辅助计算列</t>
  </si>
  <si>
    <t>时间倍率；与基础间隔时间</t>
  </si>
  <si>
    <t>最多发放次数；不限填 -1</t>
  </si>
  <si>
    <t>通过 TriggerItemDrop 请求的 Steam PlaytimeGenerator ItemDef ID；该定义直接生成最终装扮；本地消耗品填 0</t>
  </si>
  <si>
    <t>当前 PlaytimeGenerator 被预热激活后，正式获得一件奖励所需的 Steam 有效游玩秒数。</t>
  </si>
  <si>
    <t>Steam 掉落窗口真实秒数；转换器向上取整为分钟；0 表示不启用</t>
  </si>
  <si>
    <t>Steam 掉落窗口内最多发放次数；未启用窗口时填 0</t>
  </si>
  <si>
    <t>&gt;0 本次展示覆盖 BlindBox 默认筹码成本；=0 表示继承，&lt;0 表示免费并显示其绝对值的字符串并添加删除线，注意配置中的倍率</t>
  </si>
  <si>
    <t>玩家正式完成并结算该 Schedule 后，由客户端手动授予的 Steam 永久进度回执 ItemDef ID；0 表示不授予</t>
  </si>
  <si>
    <t>兜底盲盒id</t>
  </si>
  <si>
    <t>是循环生效的</t>
  </si>
  <si>
    <t>开始秒数</t>
  </si>
  <si>
    <t>间隔秒数</t>
  </si>
  <si>
    <t>分钟</t>
  </si>
  <si>
    <t>累计分钟</t>
  </si>
  <si>
    <t>最多发放次数</t>
  </si>
  <si>
    <t>Steam游玩时间生成器DefID</t>
  </si>
  <si>
    <t>冷却窗口</t>
  </si>
  <si>
    <t>Steam掉落窗口秒数</t>
  </si>
  <si>
    <t>Steam窗口最大发放数</t>
  </si>
  <si>
    <t>本次筹码成本覆盖</t>
  </si>
  <si>
    <t>Steam完成回执DefID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</si>
  <si>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</si>
  <si>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</si>
  <si>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</si>
  <si>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</si>
  <si>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</si>
  <si>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</si>
  <si>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备注</t>
  </si>
  <si>
    <t>新手盲盒概率会高一点</t>
  </si>
  <si>
    <t>测试活动盲盒：特殊1</t>
  </si>
  <si>
    <t>盲盒券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</si>
  <si>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</si>
  <si>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</si>
  <si>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</si>
  <si>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</si>
  <si>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</si>
  <si>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</si>
  <si>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</si>
  <si>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</si>
  <si>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</si>
  <si>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</si>
  <si>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</si>
  <si>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</si>
  <si>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</si>
  <si>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</si>
  <si>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</si>
  <si>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</si>
  <si>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</si>
  <si>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</si>
  <si>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</si>
  <si>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</si>
  <si>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</si>
  <si>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</si>
  <si>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</si>
  <si>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</si>
  <si>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</si>
  <si>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</si>
  <si>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</si>
  <si>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</si>
  <si>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</si>
  <si>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</si>
  <si>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</si>
  <si>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</si>
  <si>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</si>
  <si>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</si>
  <si>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</si>
  <si>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</si>
  <si>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</si>
  <si>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</si>
  <si>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</si>
  <si>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</si>
  <si>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</si>
  <si>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</si>
  <si>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</si>
  <si>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</si>
  <si>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</si>
  <si>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</si>
  <si>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</si>
  <si>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</si>
  <si>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</si>
  <si>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</si>
  <si>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</si>
  <si>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</si>
  <si>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</si>
  <si>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</si>
  <si>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</si>
  <si>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</si>
  <si>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ItemId</t>
  </si>
  <si>
    <t>DurationHands</t>
  </si>
  <si>
    <t>LuckyDealMode</t>
  </si>
  <si>
    <t>LuckyDealTriggerChance</t>
  </si>
  <si>
    <t>InteractionHintSfxCue</t>
  </si>
  <si>
    <t>UseSfxCue</t>
  </si>
  <si>
    <t>BalloonOffsetY</t>
  </si>
  <si>
    <t>int#ref=TbItem</t>
  </si>
  <si>
    <t>ELuckyDealMode</t>
  </si>
  <si>
    <t>关联 `Item.Id` 的唯一配置。仅允许填写 `ItemType = Refreshment` 的物品；</t>
  </si>
  <si>
    <t>使用成功后获得的 BUFF 持续牌局数。每次成功下注并开始新局时消耗 1 局；建议填写 1-99。</t>
  </si>
  <si>
    <t>决定幸运发牌的具体规则。第一版只支持 `GuidedDraw`；其他枚举为后续预留，暂勿配置。</t>
  </si>
  <si>
    <t>BUFF 生效期间，每局开始时触发幸运发牌的概率。填写 0-1 小数，例如 `0.75` 表示 75%；未触发也会消耗该局。</t>
  </si>
  <si>
    <t>点击桌面 Refreshment 时，播放交互提示动画所用的 AudioManager 逻辑 Cue。填空则静音；不要填写文件扩展名或资源路径。</t>
  </si>
  <si>
    <t>玩家确认使用 Refreshment 并激活 BUFF 时播放的 AudioManager 逻辑 Cue。可按饮品/食物/器具分别配置；填空则静音。</t>
  </si>
  <si>
    <t>在 PSD 导出定位的基础上，对 UseBalloon 和 StatusBalloon 同时追加的 Y 轴像素偏移。正数向下、负数向上；例如热气使气球偏高时填写正数。</t>
  </si>
  <si>
    <t>关联物品 ID</t>
  </si>
  <si>
    <t>持续局数</t>
  </si>
  <si>
    <t>幸运发牌模式</t>
  </si>
  <si>
    <t>Look校验品质</t>
  </si>
  <si>
    <t>幸运触发概率</t>
  </si>
  <si>
    <t>交互提示音效</t>
  </si>
  <si>
    <t>使用音效</t>
  </si>
  <si>
    <t>气球高度微调</t>
  </si>
  <si>
    <t>GuidedDraw</t>
  </si>
  <si>
    <t>Refreshment_Hint</t>
  </si>
  <si>
    <t>Refreshment_BuffStart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</si>
  <si>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</si>
  <si>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</si>
  <si>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</si>
  <si>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</si>
  <si>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</si>
  <si>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</si>
  <si>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</si>
  <si>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</si>
  <si>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</si>
  <si>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</si>
  <si>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</si>
  <si>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</si>
  <si>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</si>
  <si>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</si>
  <si>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</si>
  <si>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</si>
  <si>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</si>
  <si>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</si>
  <si>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</si>
  <si>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</si>
  <si>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</si>
  <si>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</si>
  <si>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</si>
  <si>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</si>
  <si>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</si>
  <si>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</si>
  <si>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</si>
  <si>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</si>
  <si>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</si>
  <si>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</si>
  <si>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</si>
  <si>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</si>
  <si>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</si>
  <si>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</si>
  <si>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</si>
  <si>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</si>
  <si>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</si>
  <si>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</si>
  <si>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</si>
  <si>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</si>
  <si>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</si>
  <si>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</si>
  <si>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</si>
  <si>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</si>
  <si>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</si>
  <si>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</si>
  <si>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</si>
  <si>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</si>
  <si>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</si>
  <si>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</si>
  <si>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</si>
  <si>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</si>
  <si>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</si>
  <si>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</si>
  <si>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</si>
  <si>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</si>
  <si>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</si>
  <si>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</si>
  <si>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</si>
  <si>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</si>
  <si>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</si>
  <si>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</si>
  <si>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</si>
  <si>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</si>
  <si>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</si>
  <si>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</si>
  <si>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</si>
  <si>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</si>
  <si>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</si>
  <si>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</si>
  <si>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</si>
  <si>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</si>
  <si>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</si>
  <si>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</si>
  <si>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</si>
  <si>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</si>
  <si>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</si>
  <si>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</si>
  <si>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</si>
  <si>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</si>
  <si>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</si>
  <si>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</si>
  <si>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</si>
  <si>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</si>
  <si>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</si>
  <si>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</si>
  <si>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</si>
  <si>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</si>
  <si>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</si>
  <si>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</si>
  <si>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</si>
  <si>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</si>
  <si>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</si>
  <si>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</si>
  <si>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</si>
  <si>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</si>
  <si>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</si>
  <si>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</si>
  <si>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</si>
  <si>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</si>
  <si>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</si>
  <si>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</si>
  <si>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</si>
  <si>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</si>
  <si>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</si>
  <si>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</si>
  <si>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</si>
  <si>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</si>
  <si>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</si>
  <si>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</si>
  <si>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</si>
  <si>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</si>
  <si>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</si>
  <si>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</si>
  <si>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</si>
  <si>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</si>
  <si>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</si>
  <si>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</si>
  <si>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</si>
  <si>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</si>
  <si>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</si>
  <si>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</si>
  <si>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</si>
  <si>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</si>
  <si>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</si>
  <si>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</si>
  <si>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</si>
  <si>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</si>
  <si>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</si>
  <si>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</si>
  <si>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</si>
  <si>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</si>
  <si>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</si>
  <si>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</si>
  <si>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</si>
  <si>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</si>
  <si>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</si>
  <si>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</si>
  <si>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</si>
  <si>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</si>
  <si>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</si>
  <si>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</si>
  <si>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</si>
  <si>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</si>
  <si>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</si>
  <si>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</si>
  <si>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</si>
  <si>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</si>
  <si>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</si>
  <si>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</si>
  <si>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</si>
  <si>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</si>
  <si>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402表示开盒成本</t>
  </si>
  <si>
    <t>DecorationBlindBoxVoucher</t>
  </si>
  <si>
    <t>盲盒招待券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</si>
  <si>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</si>
  <si>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</si>
  <si>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</si>
  <si>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</si>
  <si>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</si>
  <si>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</si>
  <si>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</si>
  <si>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</si>
  <si>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</si>
  <si>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</si>
  <si>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</si>
  <si>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</si>
  <si>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</si>
  <si>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</si>
  <si>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</si>
  <si>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</si>
  <si>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</si>
  <si>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</si>
  <si>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</si>
  <si>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</si>
  <si>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</si>
  <si>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</si>
  <si>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</si>
  <si>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</si>
  <si>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</si>
  <si>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</si>
  <si>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</si>
  <si>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</si>
  <si>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</si>
  <si>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</si>
  <si>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</si>
  <si>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</si>
  <si>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</si>
  <si>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</si>
  <si>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</si>
  <si>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</si>
  <si>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</si>
  <si>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</si>
  <si>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</si>
  <si>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</si>
  <si>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</si>
  <si>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</si>
  <si>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</si>
  <si>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</si>
  <si>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</si>
  <si>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</si>
  <si>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</si>
  <si>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</si>
  <si>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</si>
  <si>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</si>
  <si>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</si>
  <si>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</si>
  <si>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</si>
  <si>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</si>
  <si>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</si>
  <si>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</si>
  <si>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</si>
  <si>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</si>
  <si>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</si>
  <si>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</si>
  <si>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</si>
  <si>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</si>
  <si>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</si>
  <si>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</si>
  <si>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</si>
  <si>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</si>
  <si>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</si>
  <si>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</si>
  <si>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</si>
  <si>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</si>
  <si>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</si>
  <si>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</si>
  <si>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</si>
  <si>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</si>
  <si>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</si>
  <si>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</si>
  <si>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</si>
  <si>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</si>
  <si>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</si>
  <si>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</si>
  <si>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</si>
  <si>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</si>
  <si>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</si>
  <si>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</si>
  <si>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</si>
  <si>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</si>
  <si>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</si>
  <si>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</si>
  <si>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小红书领奖礼包</t>
  </si>
  <si>
    <t>LinkTree Reward Bundle - Xiaohongshu Profile</t>
  </si>
  <si>
    <t>Grants the permanent receipt and fixed item reward for the Xiaohongshu profile entry.</t>
  </si>
  <si>
    <t>401008x1;191012x1</t>
  </si>
  <si>
    <t>Old盲盒开箱成本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</si>
  <si>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</si>
  <si>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</si>
  <si>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</si>
  <si>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</si>
  <si>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</si>
  <si>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</si>
  <si>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正式新手阶段回执</t>
  </si>
  <si>
    <t>NewbieBlindBoxCheckpoint05ReceiptOfficial</t>
  </si>
  <si>
    <t>完成前5个新手盲盒的永久回执</t>
  </si>
  <si>
    <t>Newbie Blind Box Checkpoint 5 Receipt</t>
  </si>
  <si>
    <t>Permanent receipt confirming completion of the first five newbie blind boxes.</t>
  </si>
  <si>
    <t>NewbieBlindBoxSequenceCompletedReceiptOfficial</t>
  </si>
  <si>
    <t>完成全部12个新手盲盒的永久回执</t>
  </si>
  <si>
    <t>Newbie Blind Box Sequence Completed Receipt</t>
  </si>
  <si>
    <t>Permanent receipt confirming completion of the full newbie blind box sequence.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</si>
  <si>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</si>
  <si>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</si>
  <si>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</si>
  <si>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</si>
  <si>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</si>
  <si>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</si>
  <si>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</si>
  <si>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</si>
  <si>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</si>
  <si>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</si>
  <si>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</si>
  <si>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</si>
  <si>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</si>
  <si>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</si>
  <si>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</si>
  <si>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</si>
  <si>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</si>
  <si>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</si>
  <si>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Old新手一次性游玩投放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</si>
  <si>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</si>
  <si>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</si>
  <si>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</si>
  <si>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</si>
  <si>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</si>
  <si>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</si>
  <si>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</si>
  <si>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</si>
  <si>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</si>
  <si>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</si>
  <si>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</si>
  <si>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</si>
  <si>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</si>
  <si>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</si>
  <si>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</si>
  <si>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</si>
  <si>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</si>
  <si>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</si>
  <si>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</si>
  <si>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</si>
  <si>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</si>
  <si>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</si>
  <si>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</si>
  <si>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</si>
  <si>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</si>
  <si>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</si>
  <si>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</si>
  <si>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</si>
  <si>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</si>
  <si>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</si>
  <si>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</si>
  <si>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</si>
  <si>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</si>
  <si>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</si>
  <si>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</si>
  <si>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正式新手一次性游玩投放</t>
  </si>
  <si>
    <t>NewbieSchedule1001DirectReward</t>
  </si>
  <si>
    <t>新手调度1001直接奖励投放</t>
  </si>
  <si>
    <t>Newbie Schedule 1001 Direct Reward</t>
  </si>
  <si>
    <t>Generates one standard decoration reward for newbie schedule 1001.</t>
  </si>
  <si>
    <t>301001x1</t>
  </si>
  <si>
    <t>NewbieSchedule1002DirectReward</t>
  </si>
  <si>
    <t>新手调度1002直接奖励投放</t>
  </si>
  <si>
    <t>Newbie Schedule 1002 Direct Reward</t>
  </si>
  <si>
    <t>Generates one newbie decoration reward for newbie schedule 1002.</t>
  </si>
  <si>
    <t>301002x1</t>
  </si>
  <si>
    <t>NewbieSchedule1004DirectReward</t>
  </si>
  <si>
    <t>新手调度1004直接奖励投放</t>
  </si>
  <si>
    <t>Newbie Schedule 1004 Direct Reward</t>
  </si>
  <si>
    <t>Generates one standard decoration reward for newbie schedule 1004.</t>
  </si>
  <si>
    <t>NewbieSchedule1005DirectReward</t>
  </si>
  <si>
    <t>新手调度1005直接奖励投放</t>
  </si>
  <si>
    <t>Newbie Schedule 1005 Direct Reward</t>
  </si>
  <si>
    <t>Generates one newbie decoration reward for newbie schedule 1005.</t>
  </si>
  <si>
    <t>NewbieSchedule1007DirectReward</t>
  </si>
  <si>
    <t>新手调度1007直接奖励投放</t>
  </si>
  <si>
    <t>Newbie Schedule 1007 Direct Reward</t>
  </si>
  <si>
    <t>Generates one standard decoration reward for newbie schedule 1007.</t>
  </si>
  <si>
    <t>NewbieSchedule1008DirectReward</t>
  </si>
  <si>
    <t>新手调度1008直接奖励投放</t>
  </si>
  <si>
    <t>Newbie Schedule 1008 Direct Reward</t>
  </si>
  <si>
    <t>Generates one newbie decoration reward for newbie schedule 1008.</t>
  </si>
  <si>
    <t>NewbieSchedule1010DirectReward</t>
  </si>
  <si>
    <t>新手调度1010直接奖励投放</t>
  </si>
  <si>
    <t>Newbie Schedule 1010 Direct Reward</t>
  </si>
  <si>
    <t>Generates one standard decoration reward for newbie schedule 1010.</t>
  </si>
  <si>
    <t>NewbieSchedule1011DirectReward</t>
  </si>
  <si>
    <t>新手调度1011直接奖励投放</t>
  </si>
  <si>
    <t>Newbie Schedule 1011 Direct Reward</t>
  </si>
  <si>
    <t>Generates one newbie decoration reward for newbie schedule 1011.</t>
  </si>
  <si>
    <t>Old长期循环游玩投放</t>
  </si>
  <si>
    <t>RecurringDecorationBlindBoxDrop</t>
  </si>
  <si>
    <t>循环装扮盲盒券投放</t>
  </si>
  <si>
    <t>Recurring Decoration Blind Box Drop</t>
  </si>
  <si>
    <t>正式长期循环游玩投放</t>
  </si>
  <si>
    <t>RecurringDecorationDirectReward</t>
  </si>
  <si>
    <t>循环装扮直接奖励投放</t>
  </si>
  <si>
    <t>Recurring Decoration Direct Reward</t>
  </si>
  <si>
    <t>Generates one recurring standard decoration reward under the Steam playtime drop window.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</si>
  <si>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</si>
  <si>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</si>
  <si>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</si>
  <si>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</si>
  <si>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</si>
  <si>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</si>
  <si>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</si>
  <si>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</si>
  <si>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</si>
  <si>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</si>
  <si>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</t>
  </si>
  <si>
    <t>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</si>
  <si>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</si>
  <si>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</si>
  <si>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</si>
  <si>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历史盲盒券与开箱成本冻结段。</t>
  </si>
  <si>
    <t>兼容旧ID</t>
  </si>
  <si>
    <t>201001、201002、204001 只保留兼容，不再分配新定义或改变身份。</t>
  </si>
  <si>
    <t>可消耗库存物品的后续功能预留段。</t>
  </si>
  <si>
    <t>可堆叠材料</t>
  </si>
  <si>
    <t>210xxx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</si>
  <si>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</si>
  <si>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</si>
  <si>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</si>
  <si>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随机奖励 Generator 总段；同一个权重随机池可以被多种途径使用，不要求与 BlindBox 一一对应。</t>
  </si>
  <si>
    <t>为多种发奖流程提供随机奖励池</t>
  </si>
  <si>
    <t>盲盒随机奖池 Generator 子段。</t>
  </si>
  <si>
    <t>盲盒 ExchangeItems 的交换目标</t>
  </si>
  <si>
    <t>标准盲盒、新手盲盒等 Generator</t>
  </si>
  <si>
    <t>盲盒奖励池 Generator。可以被 PlaytimeGenerator 直接引用，也兼容历史 Exchange。</t>
  </si>
  <si>
    <t>盲盒装扮奖励池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</si>
  <si>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</si>
  <si>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</si>
  <si>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</si>
  <si>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</si>
  <si>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</si>
  <si>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</si>
  <si>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</si>
  <si>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</si>
  <si>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</si>
  <si>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</si>
  <si>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</si>
  <si>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</si>
  <si>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</si>
  <si>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</si>
  <si>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</si>
  <si>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</si>
  <si>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</si>
  <si>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</si>
  <si>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新手状态永久回执字段</t>
  </si>
  <si>
    <t>记录一些可获得奖励的新手状态，避免玩家重复走领奖流程</t>
  </si>
  <si>
    <t>500001，新手盲盒阶段开始，500012，新手盲盒阶段走完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</si>
  <si>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</si>
  <si>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</si>
  <si>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</si>
  <si>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</si>
  <si>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</si>
  <si>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</si>
  <si>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</si>
  <si>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</si>
  <si>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</si>
  <si>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</si>
  <si>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</si>
  <si>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</si>
  <si>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</si>
  <si>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</si>
  <si>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</si>
  <si>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</si>
  <si>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</si>
  <si>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补偿回执加固定物品或材料</t>
  </si>
  <si>
    <t>新手礼包 Bundle 子段。</t>
  </si>
  <si>
    <t>发放新玩家的一次性固定礼包</t>
  </si>
  <si>
    <t>新玩家一次性固定物品礼包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</si>
  <si>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</si>
  <si>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</si>
  <si>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</si>
  <si>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</si>
  <si>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</si>
  <si>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</si>
  <si>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</si>
  <si>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</si>
  <si>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</si>
  <si>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</si>
  <si>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</si>
  <si>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</si>
  <si>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新手一次性 PlaytimeGenerator 总段，同时包含历史券版与新版直接奖励。</t>
  </si>
  <si>
    <t>管理前 12 个新手 Schedule 的一次性 Steam 投放定义</t>
  </si>
  <si>
    <t>7000xx 历史券版、7001xx 新版直接奖励</t>
  </si>
  <si>
    <t>历史新手券 PlaytimeGenerator 子段，永久冻结。</t>
  </si>
  <si>
    <t>保存旧版新手券投放定义</t>
  </si>
  <si>
    <t>700001、700002、700004 等历史定义</t>
  </si>
  <si>
    <t>新版新手直接奖励 PlaytimeGenerator 子段</t>
  </si>
  <si>
    <t>新手阶段的 PlaytimeGenerator</t>
  </si>
  <si>
    <t>前12个奖励当中的装扮奖励</t>
  </si>
  <si>
    <t>长期循环投放子段。</t>
  </si>
  <si>
    <t>游戏正常阶段持续运行的循环投放</t>
  </si>
  <si>
    <t>长期循环装扮盲盒券，受掉落窗口控制</t>
  </si>
  <si>
    <t>长期循环 PlaytimeGenerator 总段</t>
  </si>
  <si>
    <t>管理游戏正常阶段持续运行的循环投放定义</t>
  </si>
  <si>
    <t>7010xx 历史券版、7011xx 新版直接奖励</t>
  </si>
  <si>
    <t>历史循环券 PlaytimeGenerator 子段，永久冻结。</t>
  </si>
  <si>
    <t>保存旧版循环券投放定义</t>
  </si>
  <si>
    <t>701001 历史循环券投放</t>
  </si>
  <si>
    <t>新版循环直接奖励 PlaytimeGenerator 子段</t>
  </si>
  <si>
    <t>长期循环直接生成装扮，受掉落窗口控制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</si>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</sst>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微软雅黑"/>
      <charset val="134"/>
    </font>
    <font>
      <b/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083F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4" applyNumberFormat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4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0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vertical="center"/>
    </xf>
    <xf numFmtId="0" fontId="0" fillId="2" borderId="0" xfId="0" applyFont="1" applyFill="1" applyAlignment="1">
      <alignment horizontal="left" vertical="center" wrapText="1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2" fillId="0" borderId="0" xfId="0" applyFont="1">
      <alignment vertical="center"/>
    </xf>
    <xf numFmtId="0" fontId="0" fillId="5" borderId="0" xfId="0" applyFill="1">
      <alignment vertical="center"/>
    </xf>
    <xf numFmtId="0" fontId="3" fillId="6" borderId="0" xfId="0" applyFont="1" applyFill="1">
      <alignment vertical="center"/>
    </xf>
    <xf numFmtId="0" fontId="0" fillId="6" borderId="0" xfId="0" applyFill="1">
      <alignment vertical="center"/>
    </xf>
    <xf numFmtId="0" fontId="0" fillId="6" borderId="0" xfId="0" applyFill="1" applyAlignment="1">
      <alignment vertical="center"/>
    </xf>
    <xf numFmtId="0" fontId="3" fillId="6" borderId="0" xfId="0" applyFont="1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0" fontId="0" fillId="7" borderId="0" xfId="0" applyFill="1">
      <alignment vertical="center"/>
    </xf>
    <xf numFmtId="0" fontId="0" fillId="3" borderId="0" xfId="0" applyFill="1">
      <alignment vertical="center"/>
    </xf>
    <xf numFmtId="0" fontId="0" fillId="8" borderId="0" xfId="0" applyFill="1" applyAlignment="1">
      <alignment vertical="center" wrapText="1"/>
    </xf>
    <xf numFmtId="0" fontId="2" fillId="7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7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26"/>
      <tableStyleElement type="totalRow" dxfId="25"/>
      <tableStyleElement type="firstRowStripe" dxfId="24"/>
      <tableStyleElement type="firstColumnStripe" dxfId="23"/>
      <tableStyleElement type="firstSubtotalRow" dxfId="22"/>
      <tableStyleElement type="secondSubtotalRow" dxfId="21"/>
      <tableStyleElement type="firstRowSubheading" dxfId="20"/>
      <tableStyleElement type="secondRowSubheading" dxfId="19"/>
      <tableStyleElement type="pageFieldLabels" dxfId="18"/>
      <tableStyleElement type="pageFieldValues" dxfId="17"/>
    </tableStyle>
  </tableStyles>
  <colors>
    <mruColors>
      <color rgb="00EFE4B7"/>
      <color rgb="00F083F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107"/>
  <sheetViews>
    <sheetView topLeftCell="A78" workbookViewId="0">
      <selection activeCell="H111" sqref="H111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27.4166666666667" customWidth="1"/>
    <col min="7" max="7" width="17.5833333333333" customWidth="1"/>
    <col min="10" max="12" width="14.3333333333333" customWidth="1"/>
    <col min="14" max="14" width="9.91666666666667" customWidth="1"/>
    <col min="15" max="15" width="19.5833333333333" customWidth="1"/>
    <col min="16" max="16" width="16.5833333333333" customWidth="1"/>
    <col min="17" max="17" width="20.9166666666667" customWidth="1"/>
    <col min="18" max="18" width="14.75" customWidth="1"/>
    <col min="19" max="19" width="5.08333333333333" style="27" customWidth="1"/>
    <col min="20" max="20" width="44" customWidth="1"/>
    <col min="21" max="21" width="48.5833333333333" customWidth="1"/>
    <col min="22" max="22" width="15.4166666666667" customWidth="1"/>
    <col min="23" max="23" width="7" style="27" customWidth="1"/>
    <col min="24" max="24" width="15.1666666666667" customWidth="1"/>
    <col min="25" max="25" width="18.0833333333333" customWidth="1"/>
    <col min="26" max="26" width="21.4166666666667" customWidth="1"/>
    <col min="27" max="27" width="15.0833333333333" customWidth="1"/>
    <col min="28" max="28" width="13.5" customWidth="1"/>
    <col min="29" max="29" width="15.8333333333333" customWidth="1"/>
    <col min="30" max="30" width="14.8333333333333" customWidth="1"/>
    <col min="31" max="31" width="12.25" customWidth="1"/>
    <col min="32" max="32" width="16.4166666666667" customWidth="1"/>
    <col min="33" max="33" width="10" customWidth="1"/>
    <col min="34" max="34" width="12.25" customWidth="1"/>
    <col min="35" max="35" width="17.0833333333333" customWidth="1"/>
    <col min="36" max="36" width="10.3333333333333" customWidth="1"/>
  </cols>
  <sheetData>
    <row r="1" spans="1:35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K1" t="s">
        <v>8</v>
      </c>
      <c r="L1" t="s">
        <v>9</v>
      </c>
      <c r="O1" t="s">
        <v>10</v>
      </c>
      <c r="P1" t="s">
        <v>11</v>
      </c>
      <c r="Q1" t="s">
        <v>12</v>
      </c>
      <c r="R1" t="s">
        <v>13</v>
      </c>
      <c r="T1" t="s">
        <v>14</v>
      </c>
      <c r="U1" t="s">
        <v>15</v>
      </c>
      <c r="V1" t="s">
        <v>16</v>
      </c>
      <c r="X1" t="s">
        <v>17</v>
      </c>
      <c r="Y1" t="s">
        <v>18</v>
      </c>
      <c r="Z1" t="s">
        <v>19</v>
      </c>
      <c r="AA1" t="s">
        <v>20</v>
      </c>
      <c r="AB1" t="s">
        <v>21</v>
      </c>
      <c r="AC1" t="s">
        <v>22</v>
      </c>
      <c r="AD1" t="s">
        <v>23</v>
      </c>
      <c r="AE1" t="s">
        <v>24</v>
      </c>
      <c r="AF1" t="s">
        <v>25</v>
      </c>
      <c r="AG1" t="s">
        <v>26</v>
      </c>
      <c r="AH1" t="s">
        <v>27</v>
      </c>
      <c r="AI1" t="s">
        <v>28</v>
      </c>
    </row>
    <row r="2" spans="1:35">
      <c r="A2" s="3" t="s">
        <v>29</v>
      </c>
      <c r="B2" s="3" t="s">
        <v>30</v>
      </c>
      <c r="C2" s="3" t="s">
        <v>31</v>
      </c>
      <c r="D2" s="3"/>
      <c r="E2" t="s">
        <v>32</v>
      </c>
      <c r="F2" t="s">
        <v>33</v>
      </c>
      <c r="G2" t="s">
        <v>30</v>
      </c>
      <c r="H2" t="s">
        <v>34</v>
      </c>
      <c r="I2" t="s">
        <v>30</v>
      </c>
      <c r="J2" t="s">
        <v>30</v>
      </c>
      <c r="K2" t="s">
        <v>35</v>
      </c>
      <c r="L2" t="s">
        <v>36</v>
      </c>
      <c r="O2" t="s">
        <v>30</v>
      </c>
      <c r="P2" t="s">
        <v>30</v>
      </c>
      <c r="Q2" t="s">
        <v>30</v>
      </c>
      <c r="R2" t="s">
        <v>30</v>
      </c>
      <c r="T2" t="s">
        <v>37</v>
      </c>
      <c r="U2" t="s">
        <v>31</v>
      </c>
      <c r="V2" t="s">
        <v>30</v>
      </c>
      <c r="X2" t="s">
        <v>30</v>
      </c>
      <c r="Y2" t="s">
        <v>38</v>
      </c>
      <c r="Z2" t="s">
        <v>31</v>
      </c>
      <c r="AA2" t="s">
        <v>35</v>
      </c>
      <c r="AB2" t="s">
        <v>35</v>
      </c>
      <c r="AC2" t="s">
        <v>35</v>
      </c>
      <c r="AD2" t="s">
        <v>35</v>
      </c>
      <c r="AE2" t="s">
        <v>35</v>
      </c>
      <c r="AF2" t="s">
        <v>31</v>
      </c>
      <c r="AG2" t="s">
        <v>31</v>
      </c>
      <c r="AH2" t="s">
        <v>31</v>
      </c>
      <c r="AI2" t="s">
        <v>31</v>
      </c>
    </row>
    <row r="3" s="2" customFormat="1" ht="121.8" spans="1:35">
      <c r="A3" s="4" t="s">
        <v>39</v>
      </c>
      <c r="B3" s="4"/>
      <c r="C3" s="4"/>
      <c r="D3" s="4" t="s">
        <v>40</v>
      </c>
      <c r="F3" s="2" t="s">
        <v>41</v>
      </c>
      <c r="G3" s="2" t="s">
        <v>42</v>
      </c>
      <c r="I3" s="2" t="s">
        <v>43</v>
      </c>
      <c r="J3" s="2" t="s">
        <v>44</v>
      </c>
      <c r="L3" s="28"/>
      <c r="M3" s="2" t="s">
        <v>45</v>
      </c>
      <c r="N3" s="2"/>
      <c r="O3" s="2" t="s">
        <v>46</v>
      </c>
      <c r="R3" s="2" t="s">
        <v>47</v>
      </c>
      <c r="S3" s="14"/>
      <c r="T3" s="2" t="s">
        <v>48</v>
      </c>
      <c r="U3" s="2" t="s">
        <v>49</v>
      </c>
      <c r="W3" s="14"/>
      <c r="X3" s="2" t="s">
        <v>50</v>
      </c>
      <c r="Y3" s="2" t="s">
        <v>51</v>
      </c>
      <c r="Z3" s="2" t="s">
        <v>52</v>
      </c>
      <c r="AA3" s="2" t="s">
        <v>53</v>
      </c>
      <c r="AB3" s="2" t="s">
        <v>54</v>
      </c>
      <c r="AC3" s="2" t="s">
        <v>54</v>
      </c>
      <c r="AD3" s="2" t="s">
        <v>55</v>
      </c>
      <c r="AE3" s="2" t="s">
        <v>56</v>
      </c>
      <c r="AF3" s="2" t="s">
        <v>57</v>
      </c>
      <c r="AG3" s="2" t="s">
        <v>58</v>
      </c>
      <c r="AH3" s="2" t="s">
        <v>57</v>
      </c>
      <c r="AI3" s="2" t="s">
        <v>57</v>
      </c>
    </row>
    <row r="4" spans="1:35">
      <c r="A4" s="3" t="s">
        <v>39</v>
      </c>
      <c r="B4" s="3" t="s">
        <v>59</v>
      </c>
      <c r="C4" s="3" t="s">
        <v>60</v>
      </c>
      <c r="D4" s="3" t="s">
        <v>61</v>
      </c>
      <c r="E4" t="s">
        <v>62</v>
      </c>
      <c r="F4" t="s">
        <v>41</v>
      </c>
      <c r="G4" t="s">
        <v>63</v>
      </c>
      <c r="H4" t="s">
        <v>64</v>
      </c>
      <c r="I4" t="s">
        <v>65</v>
      </c>
      <c r="J4" t="s">
        <v>44</v>
      </c>
      <c r="K4" t="s">
        <v>66</v>
      </c>
      <c r="L4" t="s">
        <v>67</v>
      </c>
      <c r="M4" t="s">
        <v>68</v>
      </c>
      <c r="N4" t="s">
        <v>69</v>
      </c>
      <c r="O4" t="s">
        <v>70</v>
      </c>
      <c r="P4" t="s">
        <v>71</v>
      </c>
      <c r="Q4" t="s">
        <v>72</v>
      </c>
      <c r="R4" t="s">
        <v>73</v>
      </c>
      <c r="T4" t="s">
        <v>74</v>
      </c>
      <c r="U4" t="s">
        <v>75</v>
      </c>
      <c r="V4" t="s">
        <v>76</v>
      </c>
      <c r="X4" t="s">
        <v>77</v>
      </c>
      <c r="Y4" t="s">
        <v>78</v>
      </c>
      <c r="Z4" t="s">
        <v>79</v>
      </c>
      <c r="AA4" t="s">
        <v>80</v>
      </c>
      <c r="AB4" t="s">
        <v>81</v>
      </c>
      <c r="AC4" t="s">
        <v>82</v>
      </c>
      <c r="AD4" t="s">
        <v>83</v>
      </c>
      <c r="AE4" t="s">
        <v>84</v>
      </c>
      <c r="AF4" t="s">
        <v>85</v>
      </c>
      <c r="AG4" t="s">
        <v>86</v>
      </c>
      <c r="AH4" t="s">
        <v>87</v>
      </c>
      <c r="AI4" t="s">
        <v>88</v>
      </c>
    </row>
    <row r="5" s="26" customFormat="1" spans="1:35">
      <c r="B5" s="26">
        <v>1001</v>
      </c>
      <c r="C5" s="26" t="s">
        <v>89</v>
      </c>
      <c r="D5" s="26" t="s">
        <v>90</v>
      </c>
      <c r="E5" s="26" t="s">
        <v>91</v>
      </c>
      <c r="H5" s="26" t="s">
        <v>92</v>
      </c>
      <c r="I5" s="26">
        <v>200</v>
      </c>
      <c r="J5" s="26">
        <v>0</v>
      </c>
      <c r="K5" s="26" t="b">
        <v>0</v>
      </c>
      <c r="L5" s="26" t="s">
        <v>93</v>
      </c>
      <c r="M5" s="26" t="b">
        <v>1</v>
      </c>
      <c r="N5" s="26">
        <v>0</v>
      </c>
      <c r="O5" s="26">
        <v>0</v>
      </c>
      <c r="P5" s="26">
        <v>0</v>
      </c>
      <c r="T5" s="26" t="s">
        <v>94</v>
      </c>
      <c r="U5" s="26" t="s">
        <v>95</v>
      </c>
      <c r="V5" s="26">
        <v>1001</v>
      </c>
      <c r="W5" s="26"/>
      <c r="Y5" s="26" t="s">
        <v>96</v>
      </c>
      <c r="AA5" s="26" t="b">
        <v>1</v>
      </c>
      <c r="AB5" s="26" t="b">
        <v>0</v>
      </c>
      <c r="AC5" s="26" t="b">
        <v>0</v>
      </c>
      <c r="AD5" s="26" t="b">
        <v>0</v>
      </c>
      <c r="AE5" s="26" t="b">
        <v>0</v>
      </c>
    </row>
    <row r="6" spans="1:35">
      <c r="B6">
        <v>1002</v>
      </c>
      <c r="C6" t="s">
        <v>97</v>
      </c>
      <c r="D6" t="s">
        <v>98</v>
      </c>
      <c r="E6" t="s">
        <v>91</v>
      </c>
      <c r="H6" t="s">
        <v>99</v>
      </c>
      <c r="I6">
        <v>200</v>
      </c>
      <c r="J6">
        <v>200</v>
      </c>
      <c r="K6" t="b">
        <v>0</v>
      </c>
      <c r="L6" t="s">
        <v>100</v>
      </c>
      <c r="M6" t="b">
        <v>0</v>
      </c>
      <c r="N6">
        <v>1001</v>
      </c>
      <c r="O6">
        <v>200</v>
      </c>
      <c r="P6">
        <v>400</v>
      </c>
      <c r="T6" t="s">
        <v>101</v>
      </c>
      <c r="U6" t="s">
        <v>102</v>
      </c>
      <c r="V6">
        <v>1002</v>
      </c>
      <c r="X6">
        <v>101002</v>
      </c>
      <c r="Y6" t="s">
        <v>96</v>
      </c>
      <c r="AA6" t="b">
        <v>1</v>
      </c>
      <c r="AB6" t="b">
        <v>0</v>
      </c>
      <c r="AC6" t="b">
        <v>0</v>
      </c>
      <c r="AD6" t="b">
        <v>0</v>
      </c>
      <c r="AE6" t="b">
        <v>0</v>
      </c>
    </row>
    <row r="7" spans="1:35">
      <c r="B7">
        <v>1003</v>
      </c>
      <c r="C7" t="s">
        <v>103</v>
      </c>
      <c r="D7" t="s">
        <v>104</v>
      </c>
      <c r="E7" t="s">
        <v>91</v>
      </c>
      <c r="H7" t="s">
        <v>105</v>
      </c>
      <c r="I7">
        <v>200</v>
      </c>
      <c r="J7">
        <v>200</v>
      </c>
      <c r="K7" t="b">
        <v>0</v>
      </c>
      <c r="L7" t="s">
        <v>100</v>
      </c>
      <c r="M7" t="b">
        <v>0</v>
      </c>
      <c r="N7">
        <v>1001</v>
      </c>
      <c r="O7">
        <v>200</v>
      </c>
      <c r="P7">
        <v>400</v>
      </c>
      <c r="T7" t="s">
        <v>106</v>
      </c>
      <c r="U7" t="s">
        <v>107</v>
      </c>
      <c r="V7">
        <v>1003</v>
      </c>
      <c r="X7">
        <v>101003</v>
      </c>
      <c r="Y7" t="s">
        <v>96</v>
      </c>
      <c r="AA7" t="b">
        <v>1</v>
      </c>
      <c r="AB7" t="b">
        <v>0</v>
      </c>
      <c r="AC7" t="b">
        <v>0</v>
      </c>
      <c r="AD7" t="b">
        <v>0</v>
      </c>
      <c r="AE7" t="b">
        <v>0</v>
      </c>
    </row>
    <row r="8" spans="1:35">
      <c r="B8">
        <v>1004</v>
      </c>
      <c r="C8" t="s">
        <v>108</v>
      </c>
      <c r="D8" t="s">
        <v>109</v>
      </c>
      <c r="E8" t="s">
        <v>91</v>
      </c>
      <c r="H8" t="s">
        <v>110</v>
      </c>
      <c r="I8">
        <v>200</v>
      </c>
      <c r="J8">
        <v>200</v>
      </c>
      <c r="K8" t="b">
        <v>0</v>
      </c>
      <c r="L8" t="s">
        <v>100</v>
      </c>
      <c r="M8" t="b">
        <v>0</v>
      </c>
      <c r="N8">
        <v>1001</v>
      </c>
      <c r="O8">
        <v>200</v>
      </c>
      <c r="P8">
        <v>400</v>
      </c>
      <c r="T8" t="s">
        <v>111</v>
      </c>
      <c r="U8" t="s">
        <v>112</v>
      </c>
      <c r="V8">
        <v>1004</v>
      </c>
      <c r="X8">
        <v>101004</v>
      </c>
      <c r="Y8" t="s">
        <v>96</v>
      </c>
      <c r="AA8" t="b">
        <v>1</v>
      </c>
      <c r="AB8" t="b">
        <v>0</v>
      </c>
      <c r="AC8" t="b">
        <v>0</v>
      </c>
      <c r="AD8" t="b">
        <v>0</v>
      </c>
      <c r="AE8" t="b">
        <v>0</v>
      </c>
    </row>
    <row r="9" spans="1:35">
      <c r="B9">
        <v>1005</v>
      </c>
      <c r="C9" t="s">
        <v>113</v>
      </c>
      <c r="D9" t="s">
        <v>114</v>
      </c>
      <c r="E9" t="s">
        <v>91</v>
      </c>
      <c r="H9" t="s">
        <v>105</v>
      </c>
      <c r="I9">
        <v>100</v>
      </c>
      <c r="J9">
        <v>100</v>
      </c>
      <c r="K9" t="b">
        <v>0</v>
      </c>
      <c r="L9" t="s">
        <v>100</v>
      </c>
      <c r="M9" t="b">
        <v>0</v>
      </c>
      <c r="N9">
        <v>1001</v>
      </c>
      <c r="O9">
        <v>100</v>
      </c>
      <c r="P9">
        <v>200</v>
      </c>
      <c r="T9" t="s">
        <v>94</v>
      </c>
      <c r="U9" t="s">
        <v>115</v>
      </c>
      <c r="V9">
        <v>1005</v>
      </c>
      <c r="X9">
        <v>101005</v>
      </c>
      <c r="Y9" t="s">
        <v>96</v>
      </c>
      <c r="AA9" t="b">
        <v>1</v>
      </c>
      <c r="AB9" t="b">
        <v>0</v>
      </c>
      <c r="AC9" t="b">
        <v>0</v>
      </c>
      <c r="AD9" t="b">
        <v>0</v>
      </c>
      <c r="AE9" t="b">
        <v>0</v>
      </c>
    </row>
    <row r="10" spans="1:35">
      <c r="B10">
        <v>1006</v>
      </c>
      <c r="C10" t="s">
        <v>116</v>
      </c>
      <c r="D10" t="s">
        <v>117</v>
      </c>
      <c r="E10" t="s">
        <v>91</v>
      </c>
      <c r="H10" t="s">
        <v>99</v>
      </c>
      <c r="I10">
        <v>100</v>
      </c>
      <c r="J10">
        <v>100</v>
      </c>
      <c r="K10" t="b">
        <v>0</v>
      </c>
      <c r="L10" t="s">
        <v>100</v>
      </c>
      <c r="M10" t="b">
        <v>0</v>
      </c>
      <c r="N10">
        <v>1001</v>
      </c>
      <c r="O10">
        <v>100</v>
      </c>
      <c r="P10">
        <v>200</v>
      </c>
      <c r="T10" t="s">
        <v>94</v>
      </c>
      <c r="U10" t="s">
        <v>118</v>
      </c>
      <c r="V10">
        <v>1006</v>
      </c>
      <c r="X10">
        <v>101006</v>
      </c>
      <c r="Y10" t="s">
        <v>96</v>
      </c>
      <c r="AA10" t="b">
        <v>1</v>
      </c>
      <c r="AB10" t="b">
        <v>0</v>
      </c>
      <c r="AC10" t="b">
        <v>0</v>
      </c>
      <c r="AD10" t="b">
        <v>0</v>
      </c>
      <c r="AE10" t="b">
        <v>0</v>
      </c>
    </row>
    <row r="11" spans="1:35">
      <c r="B11">
        <v>1007</v>
      </c>
      <c r="C11" t="s">
        <v>119</v>
      </c>
      <c r="D11" t="s">
        <v>120</v>
      </c>
      <c r="E11" t="s">
        <v>91</v>
      </c>
      <c r="H11" t="s">
        <v>121</v>
      </c>
      <c r="I11">
        <v>100</v>
      </c>
      <c r="J11">
        <v>100</v>
      </c>
      <c r="K11" t="b">
        <v>0</v>
      </c>
      <c r="L11" t="s">
        <v>100</v>
      </c>
      <c r="M11" t="b">
        <v>0</v>
      </c>
      <c r="N11">
        <v>1001</v>
      </c>
      <c r="O11">
        <v>100</v>
      </c>
      <c r="P11">
        <v>200</v>
      </c>
      <c r="T11" t="s">
        <v>101</v>
      </c>
      <c r="U11" t="s">
        <v>122</v>
      </c>
      <c r="V11">
        <v>1007</v>
      </c>
      <c r="X11">
        <v>101007</v>
      </c>
      <c r="Y11" t="s">
        <v>96</v>
      </c>
      <c r="AA11" t="b">
        <v>1</v>
      </c>
      <c r="AB11" t="b">
        <v>0</v>
      </c>
      <c r="AC11" t="b">
        <v>0</v>
      </c>
      <c r="AD11" t="b">
        <v>0</v>
      </c>
      <c r="AE11" t="b">
        <v>0</v>
      </c>
    </row>
    <row r="12" spans="1:35">
      <c r="B12">
        <v>1008</v>
      </c>
      <c r="C12" t="s">
        <v>119</v>
      </c>
      <c r="D12" t="s">
        <v>123</v>
      </c>
      <c r="E12" t="s">
        <v>91</v>
      </c>
      <c r="H12" t="s">
        <v>110</v>
      </c>
      <c r="I12">
        <v>100</v>
      </c>
      <c r="J12">
        <v>100</v>
      </c>
      <c r="K12" t="b">
        <v>0</v>
      </c>
      <c r="L12" t="s">
        <v>100</v>
      </c>
      <c r="M12" t="b">
        <v>0</v>
      </c>
      <c r="N12">
        <v>1001</v>
      </c>
      <c r="O12" s="19">
        <v>100</v>
      </c>
      <c r="P12" s="19">
        <v>200</v>
      </c>
      <c r="T12" t="s">
        <v>101</v>
      </c>
      <c r="U12" t="s">
        <v>124</v>
      </c>
      <c r="V12">
        <v>1008</v>
      </c>
      <c r="X12">
        <v>101008</v>
      </c>
      <c r="Y12" t="s">
        <v>96</v>
      </c>
      <c r="AA12" t="b">
        <v>1</v>
      </c>
      <c r="AB12" t="b">
        <v>0</v>
      </c>
      <c r="AC12" t="b">
        <v>0</v>
      </c>
      <c r="AD12" t="b">
        <v>0</v>
      </c>
      <c r="AE12" t="b">
        <v>0</v>
      </c>
    </row>
    <row r="13" spans="1:35">
      <c r="B13">
        <v>1009</v>
      </c>
      <c r="C13" t="s">
        <v>125</v>
      </c>
      <c r="D13" t="s">
        <v>126</v>
      </c>
      <c r="E13" t="s">
        <v>91</v>
      </c>
      <c r="H13" t="s">
        <v>105</v>
      </c>
      <c r="I13">
        <v>100</v>
      </c>
      <c r="J13">
        <v>100</v>
      </c>
      <c r="K13" t="b">
        <v>0</v>
      </c>
      <c r="L13" t="s">
        <v>100</v>
      </c>
      <c r="M13" t="b">
        <v>0</v>
      </c>
      <c r="N13">
        <v>1001</v>
      </c>
      <c r="O13">
        <v>100</v>
      </c>
      <c r="P13">
        <v>200</v>
      </c>
      <c r="T13" t="s">
        <v>106</v>
      </c>
      <c r="U13" t="s">
        <v>127</v>
      </c>
      <c r="V13">
        <v>1009</v>
      </c>
      <c r="X13">
        <v>101009</v>
      </c>
      <c r="Y13" t="s">
        <v>96</v>
      </c>
      <c r="AA13" t="b">
        <v>1</v>
      </c>
      <c r="AB13" t="b">
        <v>0</v>
      </c>
      <c r="AC13" t="b">
        <v>0</v>
      </c>
      <c r="AD13" t="b">
        <v>0</v>
      </c>
      <c r="AE13" t="b">
        <v>0</v>
      </c>
    </row>
    <row r="14" spans="1:35">
      <c r="B14">
        <v>1010</v>
      </c>
      <c r="C14" t="s">
        <v>128</v>
      </c>
      <c r="D14" t="s">
        <v>129</v>
      </c>
      <c r="E14" t="s">
        <v>91</v>
      </c>
      <c r="H14" t="s">
        <v>99</v>
      </c>
      <c r="I14">
        <v>100</v>
      </c>
      <c r="J14">
        <v>100</v>
      </c>
      <c r="K14" t="b">
        <v>0</v>
      </c>
      <c r="L14" t="s">
        <v>100</v>
      </c>
      <c r="M14" t="b">
        <v>0</v>
      </c>
      <c r="N14">
        <v>1001</v>
      </c>
      <c r="O14">
        <v>100</v>
      </c>
      <c r="P14">
        <v>200</v>
      </c>
      <c r="T14" t="s">
        <v>106</v>
      </c>
      <c r="U14" t="s">
        <v>130</v>
      </c>
      <c r="V14">
        <v>1010</v>
      </c>
      <c r="X14">
        <v>101010</v>
      </c>
      <c r="Y14" t="s">
        <v>96</v>
      </c>
      <c r="AA14" t="b">
        <v>1</v>
      </c>
      <c r="AB14" t="b">
        <v>0</v>
      </c>
      <c r="AC14" t="b">
        <v>0</v>
      </c>
      <c r="AD14" t="b">
        <v>0</v>
      </c>
      <c r="AE14" t="b">
        <v>0</v>
      </c>
    </row>
    <row r="15" spans="1:35">
      <c r="B15">
        <v>1011</v>
      </c>
      <c r="C15" t="s">
        <v>131</v>
      </c>
      <c r="D15" t="s">
        <v>132</v>
      </c>
      <c r="E15" t="s">
        <v>91</v>
      </c>
      <c r="H15" t="s">
        <v>110</v>
      </c>
      <c r="I15">
        <v>100</v>
      </c>
      <c r="J15">
        <v>100</v>
      </c>
      <c r="K15" t="b">
        <v>0</v>
      </c>
      <c r="L15" t="s">
        <v>100</v>
      </c>
      <c r="M15" t="b">
        <v>0</v>
      </c>
      <c r="N15">
        <v>1001</v>
      </c>
      <c r="O15">
        <v>100</v>
      </c>
      <c r="P15">
        <v>200</v>
      </c>
      <c r="T15" t="s">
        <v>111</v>
      </c>
      <c r="U15" t="s">
        <v>133</v>
      </c>
      <c r="V15">
        <v>1011</v>
      </c>
      <c r="X15">
        <v>101011</v>
      </c>
      <c r="Y15" t="s">
        <v>96</v>
      </c>
      <c r="AA15" t="b">
        <v>1</v>
      </c>
      <c r="AB15" t="b">
        <v>0</v>
      </c>
      <c r="AC15" t="b">
        <v>0</v>
      </c>
      <c r="AD15" t="b">
        <v>0</v>
      </c>
      <c r="AE15" t="b">
        <v>0</v>
      </c>
    </row>
    <row r="16" spans="1:35">
      <c r="B16">
        <v>1012</v>
      </c>
      <c r="C16" t="s">
        <v>134</v>
      </c>
      <c r="D16" t="s">
        <v>135</v>
      </c>
      <c r="E16" t="s">
        <v>91</v>
      </c>
      <c r="H16" t="s">
        <v>110</v>
      </c>
      <c r="I16">
        <v>100</v>
      </c>
      <c r="J16">
        <v>100</v>
      </c>
      <c r="K16" t="b">
        <v>0</v>
      </c>
      <c r="L16" t="s">
        <v>100</v>
      </c>
      <c r="M16" t="b">
        <v>0</v>
      </c>
      <c r="N16">
        <v>1001</v>
      </c>
      <c r="O16">
        <v>100</v>
      </c>
      <c r="P16">
        <v>200</v>
      </c>
      <c r="T16" t="s">
        <v>111</v>
      </c>
      <c r="U16" t="s">
        <v>136</v>
      </c>
      <c r="V16">
        <v>1012</v>
      </c>
      <c r="X16">
        <v>101012</v>
      </c>
      <c r="Y16" t="s">
        <v>96</v>
      </c>
      <c r="AA16" t="b">
        <v>1</v>
      </c>
      <c r="AB16" t="b">
        <v>0</v>
      </c>
      <c r="AC16" t="b">
        <v>0</v>
      </c>
      <c r="AD16" t="b">
        <v>0</v>
      </c>
      <c r="AE16" t="b">
        <v>0</v>
      </c>
    </row>
    <row r="17" spans="1:35">
      <c r="A17" t="s">
        <v>39</v>
      </c>
    </row>
    <row r="18" spans="1:35">
      <c r="B18">
        <v>2001</v>
      </c>
      <c r="C18" t="s">
        <v>137</v>
      </c>
      <c r="D18" t="s">
        <v>138</v>
      </c>
      <c r="E18" t="s">
        <v>139</v>
      </c>
      <c r="H18" t="s">
        <v>140</v>
      </c>
      <c r="I18">
        <v>300</v>
      </c>
      <c r="J18">
        <v>300</v>
      </c>
      <c r="K18" t="b">
        <v>0</v>
      </c>
      <c r="L18" t="s">
        <v>100</v>
      </c>
      <c r="M18" t="b">
        <v>0</v>
      </c>
      <c r="N18">
        <v>1001</v>
      </c>
      <c r="O18">
        <v>300</v>
      </c>
      <c r="P18">
        <v>300</v>
      </c>
      <c r="T18" t="s">
        <v>141</v>
      </c>
      <c r="U18" t="s">
        <v>142</v>
      </c>
      <c r="X18">
        <v>102001</v>
      </c>
      <c r="Y18" t="s">
        <v>96</v>
      </c>
      <c r="AA18" t="b">
        <v>1</v>
      </c>
      <c r="AB18" t="b">
        <v>0</v>
      </c>
      <c r="AC18" t="b">
        <v>0</v>
      </c>
      <c r="AD18" t="b">
        <v>0</v>
      </c>
      <c r="AE18" t="b">
        <v>0</v>
      </c>
    </row>
    <row r="19" spans="1:35">
      <c r="B19">
        <v>2002</v>
      </c>
      <c r="C19" t="s">
        <v>143</v>
      </c>
      <c r="D19" t="s">
        <v>144</v>
      </c>
      <c r="E19" t="s">
        <v>139</v>
      </c>
      <c r="H19" t="s">
        <v>121</v>
      </c>
      <c r="I19">
        <v>300</v>
      </c>
      <c r="J19">
        <v>300</v>
      </c>
      <c r="K19" t="b">
        <v>0</v>
      </c>
      <c r="L19" t="s">
        <v>100</v>
      </c>
      <c r="M19" t="b">
        <v>0</v>
      </c>
      <c r="N19">
        <v>1001</v>
      </c>
      <c r="O19">
        <v>300</v>
      </c>
      <c r="P19">
        <v>300</v>
      </c>
      <c r="T19" t="s">
        <v>145</v>
      </c>
      <c r="U19" t="s">
        <v>146</v>
      </c>
      <c r="X19">
        <v>102002</v>
      </c>
      <c r="Y19" t="s">
        <v>96</v>
      </c>
      <c r="AA19" t="b">
        <v>1</v>
      </c>
      <c r="AB19" t="b">
        <v>0</v>
      </c>
      <c r="AC19" t="b">
        <v>0</v>
      </c>
      <c r="AD19" t="b">
        <v>0</v>
      </c>
      <c r="AE19" t="b">
        <v>0</v>
      </c>
    </row>
    <row r="20" spans="1:35">
      <c r="B20">
        <v>2003</v>
      </c>
      <c r="C20" t="s">
        <v>147</v>
      </c>
      <c r="D20" t="s">
        <v>148</v>
      </c>
      <c r="E20" t="s">
        <v>139</v>
      </c>
      <c r="H20" t="s">
        <v>140</v>
      </c>
      <c r="I20">
        <v>300</v>
      </c>
      <c r="J20">
        <v>300</v>
      </c>
      <c r="K20" t="b">
        <v>0</v>
      </c>
      <c r="L20" t="s">
        <v>100</v>
      </c>
      <c r="M20" t="b">
        <v>0</v>
      </c>
      <c r="N20">
        <v>1001</v>
      </c>
      <c r="O20">
        <v>300</v>
      </c>
      <c r="P20">
        <v>300</v>
      </c>
      <c r="T20" t="s">
        <v>149</v>
      </c>
      <c r="U20" t="s">
        <v>150</v>
      </c>
      <c r="X20">
        <v>102003</v>
      </c>
      <c r="Y20" t="s">
        <v>96</v>
      </c>
      <c r="AA20" t="b">
        <v>1</v>
      </c>
      <c r="AB20" t="b">
        <v>0</v>
      </c>
      <c r="AC20" t="b">
        <v>0</v>
      </c>
      <c r="AD20" t="b">
        <v>0</v>
      </c>
      <c r="AE20" t="b">
        <v>0</v>
      </c>
    </row>
    <row r="21" spans="1:35">
      <c r="B21">
        <v>2004</v>
      </c>
      <c r="C21" t="s">
        <v>151</v>
      </c>
      <c r="D21" t="s">
        <v>152</v>
      </c>
      <c r="E21" t="s">
        <v>139</v>
      </c>
      <c r="H21" t="s">
        <v>121</v>
      </c>
      <c r="I21">
        <v>300</v>
      </c>
      <c r="J21">
        <v>300</v>
      </c>
      <c r="K21" t="b">
        <v>0</v>
      </c>
      <c r="L21" t="s">
        <v>100</v>
      </c>
      <c r="M21" t="b">
        <v>0</v>
      </c>
      <c r="N21">
        <v>1001</v>
      </c>
      <c r="O21">
        <v>300</v>
      </c>
      <c r="P21">
        <v>300</v>
      </c>
      <c r="T21" t="s">
        <v>153</v>
      </c>
      <c r="U21" t="s">
        <v>154</v>
      </c>
      <c r="X21">
        <v>102004</v>
      </c>
      <c r="Y21" t="s">
        <v>96</v>
      </c>
      <c r="AA21" t="b">
        <v>1</v>
      </c>
      <c r="AB21" t="b">
        <v>0</v>
      </c>
      <c r="AC21" t="b">
        <v>0</v>
      </c>
      <c r="AD21" t="b">
        <v>0</v>
      </c>
      <c r="AE21" t="b">
        <v>0</v>
      </c>
    </row>
    <row r="22" spans="1:35">
      <c r="B22">
        <v>2005</v>
      </c>
      <c r="C22" t="s">
        <v>155</v>
      </c>
      <c r="D22" t="s">
        <v>156</v>
      </c>
      <c r="E22" t="s">
        <v>139</v>
      </c>
      <c r="H22" t="s">
        <v>110</v>
      </c>
      <c r="I22">
        <v>300</v>
      </c>
      <c r="J22">
        <v>300</v>
      </c>
      <c r="K22" t="b">
        <v>0</v>
      </c>
      <c r="L22" t="s">
        <v>100</v>
      </c>
      <c r="M22" t="b">
        <v>0</v>
      </c>
      <c r="N22">
        <v>1001</v>
      </c>
      <c r="O22">
        <v>300</v>
      </c>
      <c r="P22">
        <v>300</v>
      </c>
      <c r="T22" t="s">
        <v>157</v>
      </c>
      <c r="U22" t="s">
        <v>158</v>
      </c>
      <c r="X22">
        <v>102005</v>
      </c>
      <c r="Y22" t="s">
        <v>96</v>
      </c>
      <c r="AA22" t="b">
        <v>1</v>
      </c>
      <c r="AB22" t="b">
        <v>0</v>
      </c>
      <c r="AC22" t="b">
        <v>0</v>
      </c>
      <c r="AD22" t="b">
        <v>0</v>
      </c>
      <c r="AE22" t="b">
        <v>0</v>
      </c>
    </row>
    <row r="23" spans="1:35">
      <c r="B23">
        <v>2006</v>
      </c>
      <c r="C23" t="s">
        <v>159</v>
      </c>
      <c r="D23" t="s">
        <v>160</v>
      </c>
      <c r="E23" t="s">
        <v>139</v>
      </c>
      <c r="F23" t="s">
        <v>161</v>
      </c>
      <c r="G23" t="s">
        <v>161</v>
      </c>
      <c r="H23" t="s">
        <v>121</v>
      </c>
      <c r="I23">
        <v>300</v>
      </c>
      <c r="J23">
        <v>300</v>
      </c>
      <c r="K23" t="b">
        <v>0</v>
      </c>
      <c r="L23" t="s">
        <v>100</v>
      </c>
      <c r="M23" t="b">
        <v>0</v>
      </c>
      <c r="N23">
        <v>1001</v>
      </c>
      <c r="O23">
        <v>300</v>
      </c>
      <c r="P23">
        <v>300</v>
      </c>
      <c r="Q23" t="s">
        <v>161</v>
      </c>
      <c r="R23" t="s">
        <v>161</v>
      </c>
      <c r="S23" s="27" t="s">
        <v>161</v>
      </c>
      <c r="T23" t="s">
        <v>162</v>
      </c>
      <c r="U23" t="s">
        <v>163</v>
      </c>
      <c r="X23">
        <v>102006</v>
      </c>
      <c r="Y23" t="s">
        <v>96</v>
      </c>
      <c r="AA23" t="b">
        <v>1</v>
      </c>
      <c r="AB23" t="b">
        <v>0</v>
      </c>
      <c r="AC23" t="b">
        <v>0</v>
      </c>
      <c r="AD23" t="b">
        <v>0</v>
      </c>
      <c r="AE23" t="b">
        <v>0</v>
      </c>
    </row>
    <row r="24" spans="1:35">
      <c r="B24">
        <v>2007</v>
      </c>
      <c r="C24" t="s">
        <v>164</v>
      </c>
      <c r="D24" t="s">
        <v>165</v>
      </c>
      <c r="E24" t="s">
        <v>139</v>
      </c>
      <c r="H24" t="s">
        <v>140</v>
      </c>
      <c r="I24">
        <v>300</v>
      </c>
      <c r="J24">
        <v>300</v>
      </c>
      <c r="K24" t="b">
        <v>0</v>
      </c>
      <c r="L24" t="s">
        <v>100</v>
      </c>
      <c r="M24" t="b">
        <v>0</v>
      </c>
      <c r="N24">
        <v>1001</v>
      </c>
      <c r="O24">
        <v>300</v>
      </c>
      <c r="P24">
        <v>300</v>
      </c>
      <c r="T24" t="s">
        <v>166</v>
      </c>
      <c r="U24" t="s">
        <v>167</v>
      </c>
      <c r="X24">
        <v>102007</v>
      </c>
      <c r="Y24" t="s">
        <v>96</v>
      </c>
      <c r="AA24" t="b">
        <v>1</v>
      </c>
      <c r="AB24" t="b">
        <v>0</v>
      </c>
      <c r="AC24" t="b">
        <v>0</v>
      </c>
      <c r="AD24" t="b">
        <v>0</v>
      </c>
      <c r="AE24" t="b">
        <v>0</v>
      </c>
    </row>
    <row r="25" spans="1:35">
      <c r="B25">
        <v>2008</v>
      </c>
      <c r="C25" t="s">
        <v>168</v>
      </c>
      <c r="D25" t="s">
        <v>169</v>
      </c>
      <c r="E25" t="s">
        <v>139</v>
      </c>
      <c r="H25" t="s">
        <v>105</v>
      </c>
      <c r="I25">
        <v>300</v>
      </c>
      <c r="J25">
        <v>300</v>
      </c>
      <c r="K25" t="b">
        <v>0</v>
      </c>
      <c r="L25" t="s">
        <v>100</v>
      </c>
      <c r="M25" t="b">
        <v>0</v>
      </c>
      <c r="N25">
        <v>1001</v>
      </c>
      <c r="O25">
        <v>300</v>
      </c>
      <c r="P25">
        <v>300</v>
      </c>
      <c r="T25" t="s">
        <v>170</v>
      </c>
      <c r="U25" t="s">
        <v>171</v>
      </c>
      <c r="X25">
        <v>102008</v>
      </c>
      <c r="Y25" t="s">
        <v>96</v>
      </c>
      <c r="AA25" t="b">
        <v>1</v>
      </c>
      <c r="AB25" t="b">
        <v>0</v>
      </c>
      <c r="AC25" t="b">
        <v>0</v>
      </c>
      <c r="AD25" t="b">
        <v>0</v>
      </c>
      <c r="AE25" t="b">
        <v>0</v>
      </c>
    </row>
    <row r="26" spans="1:35">
      <c r="B26">
        <v>2009</v>
      </c>
      <c r="C26" t="s">
        <v>172</v>
      </c>
      <c r="D26" t="s">
        <v>173</v>
      </c>
      <c r="E26" t="s">
        <v>139</v>
      </c>
      <c r="H26" t="s">
        <v>140</v>
      </c>
      <c r="I26">
        <v>300</v>
      </c>
      <c r="J26">
        <v>300</v>
      </c>
      <c r="K26" t="b">
        <v>0</v>
      </c>
      <c r="L26" t="s">
        <v>100</v>
      </c>
      <c r="M26" t="b">
        <v>0</v>
      </c>
      <c r="N26">
        <v>1001</v>
      </c>
      <c r="O26">
        <v>300</v>
      </c>
      <c r="P26">
        <v>300</v>
      </c>
      <c r="T26" t="s">
        <v>174</v>
      </c>
      <c r="U26" t="s">
        <v>175</v>
      </c>
      <c r="X26">
        <v>102009</v>
      </c>
      <c r="Y26" t="s">
        <v>96</v>
      </c>
      <c r="AA26" t="b">
        <v>1</v>
      </c>
      <c r="AB26" t="b">
        <v>0</v>
      </c>
      <c r="AC26" t="b">
        <v>0</v>
      </c>
      <c r="AD26" t="b">
        <v>0</v>
      </c>
      <c r="AE26" t="b">
        <v>0</v>
      </c>
    </row>
    <row r="27" spans="1:35">
      <c r="B27">
        <v>2010</v>
      </c>
      <c r="C27" t="s">
        <v>176</v>
      </c>
      <c r="D27" t="s">
        <v>177</v>
      </c>
      <c r="E27" t="s">
        <v>139</v>
      </c>
      <c r="H27" t="s">
        <v>105</v>
      </c>
      <c r="I27">
        <v>300</v>
      </c>
      <c r="J27">
        <v>300</v>
      </c>
      <c r="K27" t="b">
        <v>0</v>
      </c>
      <c r="L27" t="s">
        <v>100</v>
      </c>
      <c r="M27" t="b">
        <v>0</v>
      </c>
      <c r="N27">
        <v>1001</v>
      </c>
      <c r="O27">
        <v>300</v>
      </c>
      <c r="P27">
        <v>300</v>
      </c>
      <c r="T27" t="s">
        <v>178</v>
      </c>
      <c r="U27" t="s">
        <v>179</v>
      </c>
      <c r="X27">
        <v>102010</v>
      </c>
      <c r="Y27" t="s">
        <v>96</v>
      </c>
      <c r="AA27" t="b">
        <v>1</v>
      </c>
      <c r="AB27" t="b">
        <v>0</v>
      </c>
      <c r="AC27" t="b">
        <v>0</v>
      </c>
      <c r="AD27" t="b">
        <v>0</v>
      </c>
      <c r="AE27" t="b">
        <v>0</v>
      </c>
    </row>
    <row r="28" spans="1:35">
      <c r="A28" t="s">
        <v>161</v>
      </c>
      <c r="B28">
        <v>2011</v>
      </c>
      <c r="C28" t="s">
        <v>180</v>
      </c>
      <c r="D28" t="s">
        <v>181</v>
      </c>
      <c r="E28" t="s">
        <v>139</v>
      </c>
      <c r="F28" t="s">
        <v>161</v>
      </c>
      <c r="G28" t="s">
        <v>161</v>
      </c>
      <c r="H28" t="s">
        <v>121</v>
      </c>
      <c r="I28">
        <v>300</v>
      </c>
      <c r="J28">
        <v>300</v>
      </c>
      <c r="K28" t="b">
        <v>0</v>
      </c>
      <c r="L28" t="s">
        <v>100</v>
      </c>
      <c r="M28" t="b">
        <v>0</v>
      </c>
      <c r="N28">
        <v>1001</v>
      </c>
      <c r="O28">
        <v>300</v>
      </c>
      <c r="P28">
        <v>300</v>
      </c>
      <c r="Q28" t="s">
        <v>161</v>
      </c>
      <c r="R28" t="s">
        <v>161</v>
      </c>
      <c r="S28" s="27" t="s">
        <v>161</v>
      </c>
      <c r="T28" t="s">
        <v>182</v>
      </c>
      <c r="U28" t="s">
        <v>183</v>
      </c>
      <c r="V28" t="s">
        <v>161</v>
      </c>
      <c r="W28" s="27" t="s">
        <v>161</v>
      </c>
      <c r="X28">
        <v>102011</v>
      </c>
      <c r="Y28" t="s">
        <v>96</v>
      </c>
      <c r="AA28" t="b">
        <v>1</v>
      </c>
      <c r="AB28" t="b">
        <v>0</v>
      </c>
      <c r="AC28" t="b">
        <v>0</v>
      </c>
      <c r="AD28" t="b">
        <v>0</v>
      </c>
      <c r="AE28" t="b">
        <v>0</v>
      </c>
      <c r="AF28" t="s">
        <v>161</v>
      </c>
      <c r="AG28" t="s">
        <v>161</v>
      </c>
      <c r="AH28" t="s">
        <v>161</v>
      </c>
      <c r="AI28" t="s">
        <v>161</v>
      </c>
    </row>
    <row r="29" spans="1:35">
      <c r="A29" t="s">
        <v>161</v>
      </c>
      <c r="B29">
        <v>2012</v>
      </c>
      <c r="C29" t="s">
        <v>184</v>
      </c>
      <c r="D29" t="s">
        <v>185</v>
      </c>
      <c r="E29" t="s">
        <v>139</v>
      </c>
      <c r="F29" t="s">
        <v>161</v>
      </c>
      <c r="G29" t="s">
        <v>161</v>
      </c>
      <c r="H29" t="s">
        <v>140</v>
      </c>
      <c r="I29">
        <v>300</v>
      </c>
      <c r="J29">
        <v>300</v>
      </c>
      <c r="K29" t="b">
        <v>0</v>
      </c>
      <c r="L29" t="s">
        <v>100</v>
      </c>
      <c r="M29" t="b">
        <v>0</v>
      </c>
      <c r="N29">
        <v>1001</v>
      </c>
      <c r="O29">
        <v>300</v>
      </c>
      <c r="P29">
        <v>300</v>
      </c>
      <c r="Q29" t="s">
        <v>161</v>
      </c>
      <c r="R29" t="s">
        <v>161</v>
      </c>
      <c r="S29" s="27" t="s">
        <v>161</v>
      </c>
      <c r="T29" t="s">
        <v>186</v>
      </c>
      <c r="U29" t="s">
        <v>187</v>
      </c>
      <c r="V29" t="s">
        <v>161</v>
      </c>
      <c r="W29" s="27" t="s">
        <v>161</v>
      </c>
      <c r="X29">
        <v>102012</v>
      </c>
      <c r="Y29" t="s">
        <v>96</v>
      </c>
      <c r="AA29" t="b">
        <v>1</v>
      </c>
      <c r="AB29" t="b">
        <v>0</v>
      </c>
      <c r="AC29" t="b">
        <v>0</v>
      </c>
      <c r="AD29" t="b">
        <v>0</v>
      </c>
      <c r="AE29" t="b">
        <v>0</v>
      </c>
      <c r="AF29" t="s">
        <v>161</v>
      </c>
      <c r="AG29" t="s">
        <v>161</v>
      </c>
      <c r="AH29" t="s">
        <v>161</v>
      </c>
      <c r="AI29" t="s">
        <v>161</v>
      </c>
    </row>
    <row r="30" spans="1:35">
      <c r="B30">
        <v>3001</v>
      </c>
      <c r="C30" t="s">
        <v>188</v>
      </c>
      <c r="D30" t="s">
        <v>189</v>
      </c>
      <c r="E30" t="s">
        <v>190</v>
      </c>
      <c r="H30" t="s">
        <v>140</v>
      </c>
      <c r="I30">
        <v>300</v>
      </c>
      <c r="J30">
        <v>300</v>
      </c>
      <c r="K30" t="b">
        <v>0</v>
      </c>
      <c r="L30" t="s">
        <v>100</v>
      </c>
      <c r="M30" t="b">
        <v>0</v>
      </c>
      <c r="N30">
        <v>1001</v>
      </c>
      <c r="O30">
        <v>300</v>
      </c>
      <c r="P30">
        <v>300</v>
      </c>
      <c r="T30" t="s">
        <v>191</v>
      </c>
      <c r="U30" t="s">
        <v>192</v>
      </c>
      <c r="X30">
        <v>103001</v>
      </c>
      <c r="Y30" t="s">
        <v>96</v>
      </c>
      <c r="AA30" t="b">
        <v>1</v>
      </c>
      <c r="AB30" t="b">
        <v>0</v>
      </c>
      <c r="AC30" t="b">
        <v>0</v>
      </c>
      <c r="AD30" t="b">
        <v>0</v>
      </c>
      <c r="AE30" t="b">
        <v>0</v>
      </c>
    </row>
    <row r="31" spans="1:35">
      <c r="B31">
        <v>3002</v>
      </c>
      <c r="C31" t="s">
        <v>193</v>
      </c>
      <c r="D31" t="s">
        <v>194</v>
      </c>
      <c r="E31" t="s">
        <v>190</v>
      </c>
      <c r="H31" t="s">
        <v>121</v>
      </c>
      <c r="I31">
        <v>300</v>
      </c>
      <c r="J31">
        <v>300</v>
      </c>
      <c r="K31" t="b">
        <v>0</v>
      </c>
      <c r="L31" t="s">
        <v>100</v>
      </c>
      <c r="M31" t="b">
        <v>0</v>
      </c>
      <c r="N31">
        <v>1001</v>
      </c>
      <c r="O31">
        <v>300</v>
      </c>
      <c r="P31">
        <v>300</v>
      </c>
      <c r="T31" t="s">
        <v>195</v>
      </c>
      <c r="U31" t="s">
        <v>196</v>
      </c>
      <c r="X31">
        <v>103002</v>
      </c>
      <c r="Y31" t="s">
        <v>96</v>
      </c>
      <c r="AA31" t="b">
        <v>1</v>
      </c>
      <c r="AB31" t="b">
        <v>0</v>
      </c>
      <c r="AC31" t="b">
        <v>0</v>
      </c>
      <c r="AD31" t="b">
        <v>0</v>
      </c>
      <c r="AE31" t="b">
        <v>0</v>
      </c>
    </row>
    <row r="32" spans="1:35">
      <c r="B32">
        <v>3003</v>
      </c>
      <c r="C32" t="s">
        <v>197</v>
      </c>
      <c r="D32" t="s">
        <v>198</v>
      </c>
      <c r="E32" t="s">
        <v>190</v>
      </c>
      <c r="H32" t="s">
        <v>105</v>
      </c>
      <c r="I32">
        <v>300</v>
      </c>
      <c r="J32">
        <v>300</v>
      </c>
      <c r="K32" t="b">
        <v>0</v>
      </c>
      <c r="L32" t="s">
        <v>100</v>
      </c>
      <c r="M32" t="b">
        <v>0</v>
      </c>
      <c r="N32">
        <v>1001</v>
      </c>
      <c r="O32">
        <v>300</v>
      </c>
      <c r="P32">
        <v>300</v>
      </c>
      <c r="T32" t="s">
        <v>199</v>
      </c>
      <c r="U32" t="s">
        <v>200</v>
      </c>
      <c r="X32">
        <v>103003</v>
      </c>
      <c r="Y32" t="s">
        <v>96</v>
      </c>
      <c r="AA32" t="b">
        <v>1</v>
      </c>
      <c r="AB32" t="b">
        <v>0</v>
      </c>
      <c r="AC32" t="b">
        <v>0</v>
      </c>
      <c r="AD32" t="b">
        <v>0</v>
      </c>
      <c r="AE32" t="b">
        <v>0</v>
      </c>
    </row>
    <row r="33" spans="2:31">
      <c r="B33">
        <v>3004</v>
      </c>
      <c r="C33" t="s">
        <v>201</v>
      </c>
      <c r="D33" t="s">
        <v>202</v>
      </c>
      <c r="E33" t="s">
        <v>190</v>
      </c>
      <c r="H33" t="s">
        <v>110</v>
      </c>
      <c r="I33">
        <v>300</v>
      </c>
      <c r="J33">
        <v>300</v>
      </c>
      <c r="K33" t="b">
        <v>0</v>
      </c>
      <c r="L33" t="s">
        <v>100</v>
      </c>
      <c r="M33" t="b">
        <v>0</v>
      </c>
      <c r="N33">
        <v>1001</v>
      </c>
      <c r="O33">
        <v>300</v>
      </c>
      <c r="P33">
        <v>300</v>
      </c>
      <c r="T33" t="s">
        <v>203</v>
      </c>
      <c r="U33" t="s">
        <v>204</v>
      </c>
      <c r="X33">
        <v>103004</v>
      </c>
      <c r="Y33" t="s">
        <v>96</v>
      </c>
      <c r="AA33" t="b">
        <v>1</v>
      </c>
      <c r="AB33" t="b">
        <v>0</v>
      </c>
      <c r="AC33" t="b">
        <v>0</v>
      </c>
      <c r="AD33" t="b">
        <v>0</v>
      </c>
      <c r="AE33" t="b">
        <v>0</v>
      </c>
    </row>
    <row r="34" spans="2:31">
      <c r="B34">
        <v>3005</v>
      </c>
      <c r="C34" t="s">
        <v>205</v>
      </c>
      <c r="D34" t="s">
        <v>206</v>
      </c>
      <c r="E34" t="s">
        <v>190</v>
      </c>
      <c r="H34" t="s">
        <v>105</v>
      </c>
      <c r="I34">
        <v>300</v>
      </c>
      <c r="J34">
        <v>300</v>
      </c>
      <c r="K34" t="b">
        <v>0</v>
      </c>
      <c r="L34" t="s">
        <v>100</v>
      </c>
      <c r="M34" t="b">
        <v>0</v>
      </c>
      <c r="N34">
        <v>0</v>
      </c>
      <c r="O34">
        <v>0</v>
      </c>
      <c r="P34">
        <v>0</v>
      </c>
      <c r="T34" t="s">
        <v>207</v>
      </c>
      <c r="U34" t="s">
        <v>208</v>
      </c>
      <c r="X34">
        <v>103005</v>
      </c>
      <c r="Y34" t="s">
        <v>96</v>
      </c>
      <c r="AA34" t="b">
        <v>1</v>
      </c>
      <c r="AB34" t="b">
        <v>0</v>
      </c>
      <c r="AC34" t="b">
        <v>0</v>
      </c>
      <c r="AD34" t="b">
        <v>0</v>
      </c>
      <c r="AE34" t="b">
        <v>0</v>
      </c>
    </row>
    <row r="35" s="26" customFormat="1" spans="2:31">
      <c r="B35" s="26">
        <v>4001</v>
      </c>
      <c r="C35" s="26" t="s">
        <v>209</v>
      </c>
      <c r="D35" s="26" t="s">
        <v>210</v>
      </c>
      <c r="E35" s="26" t="s">
        <v>211</v>
      </c>
      <c r="F35" s="26" t="s">
        <v>212</v>
      </c>
      <c r="H35" s="26" t="s">
        <v>92</v>
      </c>
      <c r="I35" s="26">
        <v>0</v>
      </c>
      <c r="J35" s="26">
        <v>0</v>
      </c>
      <c r="K35" s="26" t="b">
        <v>1</v>
      </c>
      <c r="L35" s="26" t="s">
        <v>93</v>
      </c>
      <c r="M35" s="26" t="b">
        <v>1</v>
      </c>
      <c r="N35" s="26">
        <v>0</v>
      </c>
      <c r="O35" s="26">
        <v>0</v>
      </c>
      <c r="P35" s="26">
        <v>0</v>
      </c>
      <c r="T35" s="26" t="s">
        <v>213</v>
      </c>
      <c r="U35" s="26" t="s">
        <v>214</v>
      </c>
      <c r="X35" s="26">
        <v>104001</v>
      </c>
      <c r="Y35" s="26" t="s">
        <v>96</v>
      </c>
      <c r="Z35" s="26"/>
      <c r="AA35" s="26" t="b">
        <v>1</v>
      </c>
      <c r="AB35" s="26" t="b">
        <v>0</v>
      </c>
      <c r="AC35" s="26" t="b">
        <v>0</v>
      </c>
      <c r="AD35" s="26" t="b">
        <v>0</v>
      </c>
      <c r="AE35" s="26" t="b">
        <v>0</v>
      </c>
    </row>
    <row r="36" s="26" customFormat="1" spans="2:31">
      <c r="B36" s="26">
        <v>4002</v>
      </c>
      <c r="C36" s="26" t="s">
        <v>215</v>
      </c>
      <c r="D36" s="26" t="s">
        <v>216</v>
      </c>
      <c r="E36" s="26" t="s">
        <v>211</v>
      </c>
      <c r="F36" s="26" t="s">
        <v>212</v>
      </c>
      <c r="H36" s="26" t="s">
        <v>92</v>
      </c>
      <c r="I36" s="26">
        <v>0</v>
      </c>
      <c r="J36" s="26">
        <v>0</v>
      </c>
      <c r="K36" s="26" t="b">
        <v>1</v>
      </c>
      <c r="L36" s="26" t="s">
        <v>93</v>
      </c>
      <c r="M36" s="26" t="b">
        <v>1</v>
      </c>
      <c r="N36" s="26">
        <v>0</v>
      </c>
      <c r="O36" s="26">
        <v>0</v>
      </c>
      <c r="P36" s="26">
        <v>0</v>
      </c>
      <c r="T36" s="26" t="s">
        <v>217</v>
      </c>
      <c r="U36" s="26" t="s">
        <v>218</v>
      </c>
      <c r="X36" s="26">
        <v>104002</v>
      </c>
      <c r="Y36" s="26" t="s">
        <v>96</v>
      </c>
      <c r="Z36" s="26"/>
      <c r="AA36" s="26" t="b">
        <v>1</v>
      </c>
      <c r="AB36" s="26" t="b">
        <v>0</v>
      </c>
      <c r="AC36" s="26" t="b">
        <v>0</v>
      </c>
      <c r="AD36" s="26" t="b">
        <v>0</v>
      </c>
      <c r="AE36" s="26" t="b">
        <v>0</v>
      </c>
    </row>
    <row r="37" s="26" customFormat="1" spans="2:31">
      <c r="B37" s="26">
        <v>4003</v>
      </c>
      <c r="C37" s="26" t="s">
        <v>219</v>
      </c>
      <c r="D37" s="26" t="s">
        <v>220</v>
      </c>
      <c r="E37" s="26" t="s">
        <v>211</v>
      </c>
      <c r="F37" s="26" t="s">
        <v>212</v>
      </c>
      <c r="H37" s="26" t="s">
        <v>92</v>
      </c>
      <c r="I37" s="26">
        <v>0</v>
      </c>
      <c r="J37" s="26">
        <v>0</v>
      </c>
      <c r="K37" s="26" t="b">
        <v>1</v>
      </c>
      <c r="L37" s="26" t="s">
        <v>93</v>
      </c>
      <c r="M37" s="26" t="b">
        <v>1</v>
      </c>
      <c r="N37" s="26">
        <v>0</v>
      </c>
      <c r="O37" s="26">
        <v>0</v>
      </c>
      <c r="P37" s="26">
        <v>0</v>
      </c>
      <c r="T37" s="26" t="s">
        <v>221</v>
      </c>
      <c r="U37" s="26" t="s">
        <v>222</v>
      </c>
      <c r="X37" s="26">
        <v>104003</v>
      </c>
      <c r="Y37" s="26" t="s">
        <v>96</v>
      </c>
      <c r="Z37" s="26"/>
      <c r="AA37" s="26" t="b">
        <v>1</v>
      </c>
      <c r="AB37" s="26" t="b">
        <v>0</v>
      </c>
      <c r="AC37" s="26" t="b">
        <v>0</v>
      </c>
      <c r="AD37" s="26" t="b">
        <v>0</v>
      </c>
      <c r="AE37" s="26" t="b">
        <v>0</v>
      </c>
    </row>
    <row r="38" s="26" customFormat="1" spans="2:31">
      <c r="B38" s="26">
        <v>4004</v>
      </c>
      <c r="C38" s="26" t="s">
        <v>223</v>
      </c>
      <c r="D38" s="26" t="s">
        <v>224</v>
      </c>
      <c r="E38" s="26" t="s">
        <v>211</v>
      </c>
      <c r="F38" s="26" t="s">
        <v>212</v>
      </c>
      <c r="H38" s="26" t="s">
        <v>92</v>
      </c>
      <c r="I38" s="26">
        <v>0</v>
      </c>
      <c r="J38" s="26">
        <v>0</v>
      </c>
      <c r="K38" s="26" t="b">
        <v>1</v>
      </c>
      <c r="L38" s="26" t="s">
        <v>93</v>
      </c>
      <c r="M38" s="26" t="b">
        <v>1</v>
      </c>
      <c r="N38" s="26">
        <v>0</v>
      </c>
      <c r="O38" s="26">
        <v>0</v>
      </c>
      <c r="P38" s="26">
        <v>0</v>
      </c>
      <c r="T38" s="26" t="s">
        <v>225</v>
      </c>
      <c r="U38" s="26" t="s">
        <v>226</v>
      </c>
      <c r="X38" s="26">
        <v>104004</v>
      </c>
      <c r="Y38" s="26" t="s">
        <v>96</v>
      </c>
      <c r="Z38" s="26"/>
      <c r="AA38" s="26" t="b">
        <v>1</v>
      </c>
      <c r="AB38" s="26" t="b">
        <v>0</v>
      </c>
      <c r="AC38" s="26" t="b">
        <v>0</v>
      </c>
      <c r="AD38" s="26" t="b">
        <v>0</v>
      </c>
      <c r="AE38" s="26" t="b">
        <v>0</v>
      </c>
    </row>
    <row r="39" s="26" customFormat="1" spans="2:31">
      <c r="B39" s="26">
        <v>4005</v>
      </c>
      <c r="C39" s="26" t="s">
        <v>227</v>
      </c>
      <c r="D39" s="26" t="s">
        <v>228</v>
      </c>
      <c r="E39" s="26" t="s">
        <v>211</v>
      </c>
      <c r="F39" s="26" t="s">
        <v>212</v>
      </c>
      <c r="H39" s="26" t="s">
        <v>92</v>
      </c>
      <c r="I39" s="26">
        <v>0</v>
      </c>
      <c r="J39" s="26">
        <v>0</v>
      </c>
      <c r="K39" s="26" t="b">
        <v>1</v>
      </c>
      <c r="L39" s="26" t="s">
        <v>93</v>
      </c>
      <c r="M39" s="26" t="b">
        <v>1</v>
      </c>
      <c r="N39" s="26">
        <v>0</v>
      </c>
      <c r="O39" s="26">
        <v>0</v>
      </c>
      <c r="P39" s="26">
        <v>0</v>
      </c>
      <c r="T39" s="26" t="s">
        <v>229</v>
      </c>
      <c r="U39" s="26" t="s">
        <v>230</v>
      </c>
      <c r="X39" s="26">
        <v>104005</v>
      </c>
      <c r="Y39" s="26" t="s">
        <v>96</v>
      </c>
      <c r="Z39" s="26"/>
      <c r="AA39" s="26" t="b">
        <v>1</v>
      </c>
      <c r="AB39" s="26" t="b">
        <v>0</v>
      </c>
      <c r="AC39" s="26" t="b">
        <v>0</v>
      </c>
      <c r="AD39" s="26" t="b">
        <v>0</v>
      </c>
      <c r="AE39" s="26" t="b">
        <v>0</v>
      </c>
    </row>
    <row r="40" s="26" customFormat="1" spans="2:31">
      <c r="B40" s="26">
        <v>4006</v>
      </c>
      <c r="C40" s="26" t="s">
        <v>231</v>
      </c>
      <c r="D40" s="26" t="s">
        <v>232</v>
      </c>
      <c r="E40" s="26" t="s">
        <v>211</v>
      </c>
      <c r="F40" s="26" t="s">
        <v>212</v>
      </c>
      <c r="H40" s="26" t="s">
        <v>92</v>
      </c>
      <c r="I40" s="26">
        <v>0</v>
      </c>
      <c r="J40" s="26">
        <v>0</v>
      </c>
      <c r="K40" s="26" t="b">
        <v>1</v>
      </c>
      <c r="L40" s="26" t="s">
        <v>93</v>
      </c>
      <c r="M40" s="26" t="b">
        <v>1</v>
      </c>
      <c r="N40" s="26">
        <v>0</v>
      </c>
      <c r="O40" s="26">
        <v>0</v>
      </c>
      <c r="P40" s="26">
        <v>0</v>
      </c>
      <c r="T40" s="26" t="s">
        <v>233</v>
      </c>
      <c r="U40" s="26" t="s">
        <v>234</v>
      </c>
      <c r="X40" s="26">
        <v>104006</v>
      </c>
      <c r="Y40" s="26" t="s">
        <v>96</v>
      </c>
      <c r="Z40" s="26"/>
      <c r="AA40" s="26" t="b">
        <v>1</v>
      </c>
      <c r="AB40" s="26" t="b">
        <v>0</v>
      </c>
      <c r="AC40" s="26" t="b">
        <v>0</v>
      </c>
      <c r="AD40" s="26" t="b">
        <v>0</v>
      </c>
      <c r="AE40" s="26" t="b">
        <v>0</v>
      </c>
    </row>
    <row r="41" spans="2:31">
      <c r="B41">
        <v>5001</v>
      </c>
      <c r="C41" t="s">
        <v>235</v>
      </c>
      <c r="D41" t="s">
        <v>236</v>
      </c>
      <c r="E41" t="s">
        <v>237</v>
      </c>
      <c r="H41" t="s">
        <v>140</v>
      </c>
      <c r="I41">
        <v>300</v>
      </c>
      <c r="J41">
        <v>300</v>
      </c>
      <c r="K41" t="b">
        <v>0</v>
      </c>
      <c r="L41" t="s">
        <v>100</v>
      </c>
      <c r="M41" t="b">
        <v>0</v>
      </c>
      <c r="N41">
        <v>1001</v>
      </c>
      <c r="O41">
        <v>100</v>
      </c>
      <c r="P41">
        <v>100</v>
      </c>
      <c r="T41" t="s">
        <v>238</v>
      </c>
      <c r="U41" t="s">
        <v>239</v>
      </c>
      <c r="X41">
        <v>105001</v>
      </c>
      <c r="Y41" t="s">
        <v>96</v>
      </c>
      <c r="AA41" t="b">
        <v>1</v>
      </c>
      <c r="AB41" t="b">
        <v>0</v>
      </c>
      <c r="AC41" t="b">
        <v>0</v>
      </c>
      <c r="AD41" t="b">
        <v>0</v>
      </c>
      <c r="AE41" t="b">
        <v>0</v>
      </c>
    </row>
    <row r="42" spans="2:31">
      <c r="B42">
        <v>5002</v>
      </c>
      <c r="C42" t="s">
        <v>240</v>
      </c>
      <c r="D42" t="s">
        <v>241</v>
      </c>
      <c r="E42" t="s">
        <v>237</v>
      </c>
      <c r="H42" t="s">
        <v>105</v>
      </c>
      <c r="I42">
        <v>300</v>
      </c>
      <c r="J42">
        <v>300</v>
      </c>
      <c r="K42" t="b">
        <v>0</v>
      </c>
      <c r="L42" t="s">
        <v>100</v>
      </c>
      <c r="M42" t="b">
        <v>0</v>
      </c>
      <c r="N42">
        <v>1001</v>
      </c>
      <c r="O42">
        <v>100</v>
      </c>
      <c r="P42">
        <v>100</v>
      </c>
      <c r="T42" t="s">
        <v>242</v>
      </c>
      <c r="U42" t="s">
        <v>243</v>
      </c>
      <c r="X42">
        <v>105002</v>
      </c>
      <c r="Y42" t="s">
        <v>96</v>
      </c>
      <c r="AA42" t="b">
        <v>1</v>
      </c>
      <c r="AB42" t="b">
        <v>0</v>
      </c>
      <c r="AC42" t="b">
        <v>0</v>
      </c>
      <c r="AD42" t="b">
        <v>0</v>
      </c>
      <c r="AE42" t="b">
        <v>0</v>
      </c>
    </row>
    <row r="43" spans="2:31">
      <c r="B43">
        <v>5003</v>
      </c>
      <c r="C43" t="s">
        <v>244</v>
      </c>
      <c r="D43" t="s">
        <v>245</v>
      </c>
      <c r="E43" t="s">
        <v>237</v>
      </c>
      <c r="H43" t="s">
        <v>121</v>
      </c>
      <c r="I43">
        <v>300</v>
      </c>
      <c r="J43">
        <v>300</v>
      </c>
      <c r="K43" t="b">
        <v>0</v>
      </c>
      <c r="L43" t="s">
        <v>100</v>
      </c>
      <c r="M43" t="b">
        <v>0</v>
      </c>
      <c r="N43">
        <v>1001</v>
      </c>
      <c r="O43">
        <v>100</v>
      </c>
      <c r="P43">
        <v>100</v>
      </c>
      <c r="T43" t="s">
        <v>246</v>
      </c>
      <c r="U43" t="s">
        <v>247</v>
      </c>
      <c r="X43">
        <v>105003</v>
      </c>
      <c r="Y43" t="s">
        <v>96</v>
      </c>
      <c r="AA43" t="b">
        <v>1</v>
      </c>
      <c r="AB43" t="b">
        <v>0</v>
      </c>
      <c r="AC43" t="b">
        <v>0</v>
      </c>
      <c r="AD43" t="b">
        <v>0</v>
      </c>
      <c r="AE43" t="b">
        <v>0</v>
      </c>
    </row>
    <row r="44" spans="2:31">
      <c r="B44">
        <v>5004</v>
      </c>
      <c r="C44" t="s">
        <v>248</v>
      </c>
      <c r="D44" t="s">
        <v>249</v>
      </c>
      <c r="E44" t="s">
        <v>237</v>
      </c>
      <c r="H44" t="s">
        <v>105</v>
      </c>
      <c r="I44">
        <v>300</v>
      </c>
      <c r="J44">
        <v>300</v>
      </c>
      <c r="K44" t="b">
        <v>0</v>
      </c>
      <c r="L44" t="s">
        <v>100</v>
      </c>
      <c r="M44" t="b">
        <v>0</v>
      </c>
      <c r="N44">
        <v>1001</v>
      </c>
      <c r="O44">
        <v>100</v>
      </c>
      <c r="P44">
        <v>100</v>
      </c>
      <c r="T44" t="s">
        <v>250</v>
      </c>
      <c r="U44" t="s">
        <v>251</v>
      </c>
      <c r="X44">
        <v>105004</v>
      </c>
      <c r="Y44" t="s">
        <v>96</v>
      </c>
      <c r="AA44" t="b">
        <v>1</v>
      </c>
      <c r="AB44" t="b">
        <v>0</v>
      </c>
      <c r="AC44" t="b">
        <v>0</v>
      </c>
      <c r="AD44" t="b">
        <v>0</v>
      </c>
      <c r="AE44" t="b">
        <v>0</v>
      </c>
    </row>
    <row r="45" spans="2:31">
      <c r="B45">
        <v>5005</v>
      </c>
      <c r="C45" t="s">
        <v>252</v>
      </c>
      <c r="D45" t="s">
        <v>253</v>
      </c>
      <c r="E45" t="s">
        <v>237</v>
      </c>
      <c r="H45" t="s">
        <v>105</v>
      </c>
      <c r="I45">
        <v>300</v>
      </c>
      <c r="J45">
        <v>300</v>
      </c>
      <c r="K45" t="b">
        <v>0</v>
      </c>
      <c r="L45" t="s">
        <v>100</v>
      </c>
      <c r="M45" t="b">
        <v>0</v>
      </c>
      <c r="N45">
        <v>1001</v>
      </c>
      <c r="O45">
        <v>100</v>
      </c>
      <c r="P45">
        <v>100</v>
      </c>
      <c r="T45" t="s">
        <v>254</v>
      </c>
      <c r="U45" t="s">
        <v>255</v>
      </c>
      <c r="X45">
        <v>105005</v>
      </c>
      <c r="Y45" t="s">
        <v>96</v>
      </c>
      <c r="AA45" t="b">
        <v>1</v>
      </c>
      <c r="AB45" t="b">
        <v>0</v>
      </c>
      <c r="AC45" t="b">
        <v>0</v>
      </c>
      <c r="AD45" t="b">
        <v>0</v>
      </c>
      <c r="AE45" t="b">
        <v>0</v>
      </c>
    </row>
    <row r="46" spans="2:31">
      <c r="B46">
        <v>5006</v>
      </c>
      <c r="C46" t="s">
        <v>256</v>
      </c>
      <c r="D46" t="s">
        <v>257</v>
      </c>
      <c r="E46" t="s">
        <v>237</v>
      </c>
      <c r="H46" t="s">
        <v>140</v>
      </c>
      <c r="I46">
        <v>300</v>
      </c>
      <c r="J46">
        <v>300</v>
      </c>
      <c r="K46" t="b">
        <v>0</v>
      </c>
      <c r="L46" t="s">
        <v>100</v>
      </c>
      <c r="M46" t="b">
        <v>0</v>
      </c>
      <c r="N46">
        <v>1001</v>
      </c>
      <c r="O46">
        <v>100</v>
      </c>
      <c r="P46">
        <v>100</v>
      </c>
      <c r="T46" t="s">
        <v>258</v>
      </c>
      <c r="U46" t="s">
        <v>259</v>
      </c>
      <c r="X46">
        <v>105006</v>
      </c>
      <c r="Y46" t="s">
        <v>96</v>
      </c>
      <c r="AA46" t="b">
        <v>1</v>
      </c>
      <c r="AB46" t="b">
        <v>0</v>
      </c>
      <c r="AC46" t="b">
        <v>0</v>
      </c>
      <c r="AD46" t="b">
        <v>0</v>
      </c>
      <c r="AE46" t="b">
        <v>0</v>
      </c>
    </row>
    <row r="47" spans="2:31">
      <c r="B47">
        <v>5007</v>
      </c>
      <c r="C47" t="s">
        <v>260</v>
      </c>
      <c r="D47" t="s">
        <v>261</v>
      </c>
      <c r="E47" t="s">
        <v>237</v>
      </c>
      <c r="H47" t="s">
        <v>121</v>
      </c>
      <c r="I47">
        <v>300</v>
      </c>
      <c r="J47">
        <v>300</v>
      </c>
      <c r="K47" t="b">
        <v>0</v>
      </c>
      <c r="L47" t="s">
        <v>100</v>
      </c>
      <c r="M47" t="b">
        <v>0</v>
      </c>
      <c r="N47">
        <v>1001</v>
      </c>
      <c r="O47">
        <v>100</v>
      </c>
      <c r="P47">
        <v>100</v>
      </c>
      <c r="T47" t="s">
        <v>262</v>
      </c>
      <c r="U47" t="s">
        <v>263</v>
      </c>
      <c r="X47">
        <v>105007</v>
      </c>
      <c r="Y47" t="s">
        <v>96</v>
      </c>
      <c r="AA47" t="b">
        <v>1</v>
      </c>
      <c r="AB47" t="b">
        <v>0</v>
      </c>
      <c r="AC47" t="b">
        <v>0</v>
      </c>
      <c r="AD47" t="b">
        <v>0</v>
      </c>
      <c r="AE47" t="b">
        <v>0</v>
      </c>
    </row>
    <row r="48" spans="2:31">
      <c r="B48">
        <v>5008</v>
      </c>
      <c r="C48" t="s">
        <v>264</v>
      </c>
      <c r="D48" t="s">
        <v>265</v>
      </c>
      <c r="E48" t="s">
        <v>237</v>
      </c>
      <c r="H48" t="s">
        <v>140</v>
      </c>
      <c r="I48">
        <v>300</v>
      </c>
      <c r="J48">
        <v>300</v>
      </c>
      <c r="K48" t="b">
        <v>0</v>
      </c>
      <c r="L48" t="s">
        <v>100</v>
      </c>
      <c r="M48" t="b">
        <v>0</v>
      </c>
      <c r="N48">
        <v>1001</v>
      </c>
      <c r="O48">
        <v>100</v>
      </c>
      <c r="P48">
        <v>100</v>
      </c>
      <c r="T48" t="s">
        <v>266</v>
      </c>
      <c r="U48" t="s">
        <v>267</v>
      </c>
      <c r="X48">
        <v>105008</v>
      </c>
      <c r="Y48" t="s">
        <v>96</v>
      </c>
      <c r="AA48" t="b">
        <v>1</v>
      </c>
      <c r="AB48" t="b">
        <v>0</v>
      </c>
      <c r="AC48" t="b">
        <v>0</v>
      </c>
      <c r="AD48" t="b">
        <v>0</v>
      </c>
      <c r="AE48" t="b">
        <v>0</v>
      </c>
    </row>
    <row r="49" s="26" customFormat="1" spans="2:31">
      <c r="B49" s="26">
        <v>6001</v>
      </c>
      <c r="C49" s="26" t="s">
        <v>268</v>
      </c>
      <c r="D49" s="26" t="s">
        <v>269</v>
      </c>
      <c r="E49" s="26" t="s">
        <v>270</v>
      </c>
      <c r="F49" s="26" t="s">
        <v>161</v>
      </c>
      <c r="G49" s="26" t="s">
        <v>161</v>
      </c>
      <c r="H49" s="26" t="s">
        <v>92</v>
      </c>
      <c r="I49" s="26">
        <v>300</v>
      </c>
      <c r="J49" s="26">
        <v>0</v>
      </c>
      <c r="K49" s="26" t="b">
        <v>0</v>
      </c>
      <c r="L49" s="26" t="s">
        <v>93</v>
      </c>
      <c r="M49" s="26" t="b">
        <v>1</v>
      </c>
      <c r="N49" s="26">
        <v>0</v>
      </c>
      <c r="O49" s="26">
        <v>0</v>
      </c>
      <c r="P49" s="26">
        <v>0</v>
      </c>
      <c r="Q49" s="26" t="s">
        <v>161</v>
      </c>
      <c r="R49" s="26" t="s">
        <v>161</v>
      </c>
      <c r="S49" s="26" t="s">
        <v>161</v>
      </c>
      <c r="T49" s="26" t="s">
        <v>271</v>
      </c>
      <c r="U49" s="26" t="s">
        <v>272</v>
      </c>
      <c r="X49" s="26">
        <v>106001</v>
      </c>
      <c r="Y49" s="26" t="s">
        <v>96</v>
      </c>
      <c r="Z49" s="26"/>
      <c r="AA49" s="26" t="b">
        <v>1</v>
      </c>
      <c r="AB49" s="26" t="b">
        <v>0</v>
      </c>
      <c r="AC49" s="26" t="b">
        <v>0</v>
      </c>
      <c r="AD49" s="26" t="b">
        <v>0</v>
      </c>
      <c r="AE49" s="26" t="b">
        <v>0</v>
      </c>
    </row>
    <row r="50" spans="2:31">
      <c r="B50">
        <v>6002</v>
      </c>
      <c r="C50" t="s">
        <v>273</v>
      </c>
      <c r="D50" t="s">
        <v>274</v>
      </c>
      <c r="E50" t="s">
        <v>270</v>
      </c>
      <c r="F50" t="s">
        <v>161</v>
      </c>
      <c r="G50" t="s">
        <v>161</v>
      </c>
      <c r="H50" t="s">
        <v>105</v>
      </c>
      <c r="I50">
        <v>300</v>
      </c>
      <c r="J50">
        <v>300</v>
      </c>
      <c r="K50" t="b">
        <v>0</v>
      </c>
      <c r="L50" t="s">
        <v>100</v>
      </c>
      <c r="M50" t="b">
        <v>0</v>
      </c>
      <c r="N50">
        <v>1001</v>
      </c>
      <c r="O50">
        <v>200</v>
      </c>
      <c r="P50">
        <v>200</v>
      </c>
      <c r="Q50" t="s">
        <v>161</v>
      </c>
      <c r="R50" t="s">
        <v>161</v>
      </c>
      <c r="S50" s="27" t="s">
        <v>161</v>
      </c>
      <c r="T50" t="s">
        <v>275</v>
      </c>
      <c r="U50" t="s">
        <v>276</v>
      </c>
      <c r="X50">
        <v>106002</v>
      </c>
      <c r="Y50" t="s">
        <v>96</v>
      </c>
      <c r="AA50" t="b">
        <v>1</v>
      </c>
      <c r="AB50" t="b">
        <v>0</v>
      </c>
      <c r="AC50" t="b">
        <v>0</v>
      </c>
      <c r="AD50" t="b">
        <v>0</v>
      </c>
      <c r="AE50" t="b">
        <v>0</v>
      </c>
    </row>
    <row r="51" spans="2:31">
      <c r="B51">
        <v>6003</v>
      </c>
      <c r="C51" t="s">
        <v>277</v>
      </c>
      <c r="D51" t="s">
        <v>278</v>
      </c>
      <c r="E51" t="s">
        <v>270</v>
      </c>
      <c r="F51" t="s">
        <v>161</v>
      </c>
      <c r="G51" t="s">
        <v>161</v>
      </c>
      <c r="H51" t="s">
        <v>105</v>
      </c>
      <c r="I51">
        <v>300</v>
      </c>
      <c r="J51">
        <v>300</v>
      </c>
      <c r="K51" t="b">
        <v>0</v>
      </c>
      <c r="L51" t="s">
        <v>100</v>
      </c>
      <c r="M51" t="b">
        <v>0</v>
      </c>
      <c r="N51">
        <v>1001</v>
      </c>
      <c r="O51">
        <v>200</v>
      </c>
      <c r="P51">
        <v>200</v>
      </c>
      <c r="Q51" t="s">
        <v>161</v>
      </c>
      <c r="R51" t="s">
        <v>161</v>
      </c>
      <c r="S51" s="27" t="s">
        <v>161</v>
      </c>
      <c r="T51" t="s">
        <v>279</v>
      </c>
      <c r="U51" t="s">
        <v>280</v>
      </c>
      <c r="X51">
        <v>106003</v>
      </c>
      <c r="Y51" t="s">
        <v>96</v>
      </c>
      <c r="AA51" t="b">
        <v>1</v>
      </c>
      <c r="AB51" t="b">
        <v>0</v>
      </c>
      <c r="AC51" t="b">
        <v>0</v>
      </c>
      <c r="AD51" t="b">
        <v>0</v>
      </c>
      <c r="AE51" t="b">
        <v>0</v>
      </c>
    </row>
    <row r="52" spans="2:31">
      <c r="B52">
        <v>6004</v>
      </c>
      <c r="C52" t="s">
        <v>281</v>
      </c>
      <c r="D52" t="s">
        <v>282</v>
      </c>
      <c r="E52" t="s">
        <v>270</v>
      </c>
      <c r="F52" t="s">
        <v>161</v>
      </c>
      <c r="G52" t="s">
        <v>161</v>
      </c>
      <c r="H52" t="s">
        <v>121</v>
      </c>
      <c r="I52">
        <v>300</v>
      </c>
      <c r="J52">
        <v>300</v>
      </c>
      <c r="K52" t="b">
        <v>0</v>
      </c>
      <c r="L52" t="s">
        <v>100</v>
      </c>
      <c r="M52" t="b">
        <v>0</v>
      </c>
      <c r="N52">
        <v>1001</v>
      </c>
      <c r="O52">
        <v>200</v>
      </c>
      <c r="P52">
        <v>200</v>
      </c>
      <c r="Q52" t="s">
        <v>161</v>
      </c>
      <c r="R52" t="s">
        <v>161</v>
      </c>
      <c r="S52" s="27" t="s">
        <v>161</v>
      </c>
      <c r="T52" t="s">
        <v>283</v>
      </c>
      <c r="U52" t="s">
        <v>284</v>
      </c>
      <c r="X52">
        <v>106004</v>
      </c>
      <c r="Y52" t="s">
        <v>96</v>
      </c>
      <c r="AA52" t="b">
        <v>1</v>
      </c>
      <c r="AB52" t="b">
        <v>0</v>
      </c>
      <c r="AC52" t="b">
        <v>0</v>
      </c>
      <c r="AD52" t="b">
        <v>0</v>
      </c>
      <c r="AE52" t="b">
        <v>0</v>
      </c>
    </row>
    <row r="53" spans="2:31">
      <c r="B53">
        <v>6005</v>
      </c>
      <c r="C53" t="s">
        <v>285</v>
      </c>
      <c r="D53" t="s">
        <v>286</v>
      </c>
      <c r="E53" t="s">
        <v>270</v>
      </c>
      <c r="F53" t="s">
        <v>161</v>
      </c>
      <c r="G53" t="s">
        <v>161</v>
      </c>
      <c r="H53" t="s">
        <v>121</v>
      </c>
      <c r="I53">
        <v>300</v>
      </c>
      <c r="J53">
        <v>300</v>
      </c>
      <c r="K53" t="b">
        <v>0</v>
      </c>
      <c r="L53" t="s">
        <v>100</v>
      </c>
      <c r="M53" t="b">
        <v>0</v>
      </c>
      <c r="N53">
        <v>1001</v>
      </c>
      <c r="O53">
        <v>200</v>
      </c>
      <c r="P53">
        <v>200</v>
      </c>
      <c r="Q53" t="s">
        <v>161</v>
      </c>
      <c r="R53" t="s">
        <v>161</v>
      </c>
      <c r="S53" s="27" t="s">
        <v>161</v>
      </c>
      <c r="T53" t="s">
        <v>287</v>
      </c>
      <c r="U53" t="s">
        <v>288</v>
      </c>
      <c r="X53">
        <v>106005</v>
      </c>
      <c r="Y53" t="s">
        <v>96</v>
      </c>
      <c r="AA53" t="b">
        <v>1</v>
      </c>
      <c r="AB53" t="b">
        <v>0</v>
      </c>
      <c r="AC53" t="b">
        <v>0</v>
      </c>
      <c r="AD53" t="b">
        <v>0</v>
      </c>
      <c r="AE53" t="b">
        <v>0</v>
      </c>
    </row>
    <row r="54" spans="2:31">
      <c r="B54">
        <v>6006</v>
      </c>
      <c r="C54" t="s">
        <v>289</v>
      </c>
      <c r="D54" t="s">
        <v>290</v>
      </c>
      <c r="E54" t="s">
        <v>270</v>
      </c>
      <c r="F54" t="s">
        <v>161</v>
      </c>
      <c r="G54" t="s">
        <v>161</v>
      </c>
      <c r="H54" t="s">
        <v>105</v>
      </c>
      <c r="I54">
        <v>300</v>
      </c>
      <c r="J54">
        <v>300</v>
      </c>
      <c r="K54" t="b">
        <v>0</v>
      </c>
      <c r="L54" t="s">
        <v>100</v>
      </c>
      <c r="M54" t="b">
        <v>0</v>
      </c>
      <c r="N54">
        <v>1001</v>
      </c>
      <c r="O54">
        <v>200</v>
      </c>
      <c r="P54">
        <v>200</v>
      </c>
      <c r="Q54" t="s">
        <v>161</v>
      </c>
      <c r="R54" t="s">
        <v>161</v>
      </c>
      <c r="S54" s="27" t="s">
        <v>161</v>
      </c>
      <c r="T54" t="s">
        <v>291</v>
      </c>
      <c r="U54" t="s">
        <v>292</v>
      </c>
      <c r="X54">
        <v>106006</v>
      </c>
      <c r="Y54" t="s">
        <v>96</v>
      </c>
      <c r="AA54" t="b">
        <v>1</v>
      </c>
      <c r="AB54" t="b">
        <v>0</v>
      </c>
      <c r="AC54" t="b">
        <v>0</v>
      </c>
      <c r="AD54" t="b">
        <v>0</v>
      </c>
      <c r="AE54" t="b">
        <v>0</v>
      </c>
    </row>
    <row r="55" spans="2:31">
      <c r="B55">
        <v>6007</v>
      </c>
      <c r="C55" t="s">
        <v>293</v>
      </c>
      <c r="D55" t="s">
        <v>294</v>
      </c>
      <c r="E55" t="s">
        <v>270</v>
      </c>
      <c r="F55" t="s">
        <v>161</v>
      </c>
      <c r="G55" t="s">
        <v>161</v>
      </c>
      <c r="H55" t="s">
        <v>99</v>
      </c>
      <c r="I55">
        <v>300</v>
      </c>
      <c r="J55">
        <v>300</v>
      </c>
      <c r="K55" t="b">
        <v>0</v>
      </c>
      <c r="L55" t="s">
        <v>100</v>
      </c>
      <c r="M55" t="b">
        <v>0</v>
      </c>
      <c r="N55">
        <v>1001</v>
      </c>
      <c r="O55">
        <v>200</v>
      </c>
      <c r="P55">
        <v>200</v>
      </c>
      <c r="Q55" t="s">
        <v>161</v>
      </c>
      <c r="R55" t="s">
        <v>161</v>
      </c>
      <c r="S55" s="27" t="s">
        <v>161</v>
      </c>
      <c r="T55" t="s">
        <v>295</v>
      </c>
      <c r="U55" t="s">
        <v>296</v>
      </c>
      <c r="X55">
        <v>106007</v>
      </c>
      <c r="Y55" t="s">
        <v>96</v>
      </c>
      <c r="AA55" t="b">
        <v>1</v>
      </c>
      <c r="AB55" t="b">
        <v>0</v>
      </c>
      <c r="AC55" t="b">
        <v>0</v>
      </c>
      <c r="AD55" t="b">
        <v>0</v>
      </c>
      <c r="AE55" t="b">
        <v>0</v>
      </c>
    </row>
    <row r="56" spans="2:31">
      <c r="B56">
        <v>6008</v>
      </c>
      <c r="C56" t="s">
        <v>297</v>
      </c>
      <c r="D56" t="s">
        <v>298</v>
      </c>
      <c r="E56" t="s">
        <v>270</v>
      </c>
      <c r="F56" t="s">
        <v>161</v>
      </c>
      <c r="G56" t="s">
        <v>161</v>
      </c>
      <c r="H56" t="s">
        <v>140</v>
      </c>
      <c r="I56">
        <v>300</v>
      </c>
      <c r="J56">
        <v>300</v>
      </c>
      <c r="K56" t="b">
        <v>0</v>
      </c>
      <c r="L56" t="s">
        <v>100</v>
      </c>
      <c r="M56" t="b">
        <v>0</v>
      </c>
      <c r="N56">
        <v>1001</v>
      </c>
      <c r="O56">
        <v>300</v>
      </c>
      <c r="P56">
        <v>300</v>
      </c>
      <c r="Q56" t="s">
        <v>161</v>
      </c>
      <c r="R56" t="s">
        <v>161</v>
      </c>
      <c r="S56" s="27" t="s">
        <v>161</v>
      </c>
      <c r="T56" t="s">
        <v>299</v>
      </c>
      <c r="U56" t="s">
        <v>300</v>
      </c>
      <c r="X56">
        <v>106008</v>
      </c>
      <c r="Y56" t="s">
        <v>96</v>
      </c>
      <c r="AA56" t="b">
        <v>1</v>
      </c>
      <c r="AB56" t="b">
        <v>0</v>
      </c>
      <c r="AC56" t="b">
        <v>0</v>
      </c>
      <c r="AD56" t="b">
        <v>0</v>
      </c>
      <c r="AE56" t="b">
        <v>0</v>
      </c>
    </row>
    <row r="57" spans="2:31">
      <c r="B57">
        <v>6009</v>
      </c>
      <c r="C57" t="s">
        <v>301</v>
      </c>
      <c r="D57" t="s">
        <v>302</v>
      </c>
      <c r="E57" t="s">
        <v>270</v>
      </c>
      <c r="F57" t="s">
        <v>161</v>
      </c>
      <c r="G57" t="s">
        <v>161</v>
      </c>
      <c r="H57" t="s">
        <v>140</v>
      </c>
      <c r="I57">
        <v>300</v>
      </c>
      <c r="J57">
        <v>300</v>
      </c>
      <c r="K57" t="b">
        <v>0</v>
      </c>
      <c r="L57" t="s">
        <v>100</v>
      </c>
      <c r="M57" t="b">
        <v>0</v>
      </c>
      <c r="N57">
        <v>1001</v>
      </c>
      <c r="O57">
        <v>300</v>
      </c>
      <c r="P57">
        <v>300</v>
      </c>
      <c r="Q57" t="s">
        <v>161</v>
      </c>
      <c r="R57" t="s">
        <v>161</v>
      </c>
      <c r="S57" s="27" t="s">
        <v>161</v>
      </c>
      <c r="T57" t="s">
        <v>303</v>
      </c>
      <c r="U57" t="s">
        <v>304</v>
      </c>
      <c r="X57">
        <v>106009</v>
      </c>
      <c r="Y57" t="s">
        <v>96</v>
      </c>
      <c r="AA57" t="b">
        <v>1</v>
      </c>
      <c r="AB57" t="b">
        <v>0</v>
      </c>
      <c r="AC57" t="b">
        <v>0</v>
      </c>
      <c r="AD57" t="b">
        <v>0</v>
      </c>
      <c r="AE57" t="b">
        <v>0</v>
      </c>
    </row>
    <row r="58" spans="2:31">
      <c r="B58">
        <v>6010</v>
      </c>
      <c r="C58" t="s">
        <v>305</v>
      </c>
      <c r="D58" t="s">
        <v>306</v>
      </c>
      <c r="E58" t="s">
        <v>270</v>
      </c>
      <c r="F58" t="s">
        <v>161</v>
      </c>
      <c r="G58" t="s">
        <v>161</v>
      </c>
      <c r="H58" t="s">
        <v>140</v>
      </c>
      <c r="I58">
        <v>300</v>
      </c>
      <c r="J58">
        <v>300</v>
      </c>
      <c r="K58" t="b">
        <v>0</v>
      </c>
      <c r="L58" t="s">
        <v>100</v>
      </c>
      <c r="M58" t="b">
        <v>0</v>
      </c>
      <c r="N58">
        <v>1001</v>
      </c>
      <c r="O58">
        <v>300</v>
      </c>
      <c r="P58">
        <v>300</v>
      </c>
      <c r="Q58" t="s">
        <v>161</v>
      </c>
      <c r="R58" t="s">
        <v>161</v>
      </c>
      <c r="S58" s="27" t="s">
        <v>161</v>
      </c>
      <c r="T58" t="s">
        <v>307</v>
      </c>
      <c r="U58" t="s">
        <v>308</v>
      </c>
      <c r="X58">
        <v>106010</v>
      </c>
      <c r="Y58" t="s">
        <v>96</v>
      </c>
      <c r="AA58" t="b">
        <v>1</v>
      </c>
      <c r="AB58" t="b">
        <v>0</v>
      </c>
      <c r="AC58" t="b">
        <v>0</v>
      </c>
      <c r="AD58" t="b">
        <v>0</v>
      </c>
      <c r="AE58" t="b">
        <v>0</v>
      </c>
    </row>
    <row r="59" spans="2:31">
      <c r="B59">
        <v>6011</v>
      </c>
      <c r="C59" t="s">
        <v>309</v>
      </c>
      <c r="D59" t="s">
        <v>310</v>
      </c>
      <c r="E59" t="s">
        <v>270</v>
      </c>
      <c r="F59" t="s">
        <v>161</v>
      </c>
      <c r="G59" t="s">
        <v>161</v>
      </c>
      <c r="H59" t="s">
        <v>110</v>
      </c>
      <c r="I59">
        <v>300</v>
      </c>
      <c r="J59">
        <v>300</v>
      </c>
      <c r="K59" t="b">
        <v>0</v>
      </c>
      <c r="L59" t="s">
        <v>100</v>
      </c>
      <c r="M59" t="b">
        <v>0</v>
      </c>
      <c r="N59">
        <v>1001</v>
      </c>
      <c r="O59">
        <v>300</v>
      </c>
      <c r="P59">
        <v>300</v>
      </c>
      <c r="Q59" t="s">
        <v>161</v>
      </c>
      <c r="R59" t="s">
        <v>161</v>
      </c>
      <c r="S59" s="27" t="s">
        <v>161</v>
      </c>
      <c r="T59" t="s">
        <v>311</v>
      </c>
      <c r="U59" t="s">
        <v>312</v>
      </c>
      <c r="X59">
        <v>106011</v>
      </c>
      <c r="Y59" t="s">
        <v>96</v>
      </c>
      <c r="AA59" t="b">
        <v>1</v>
      </c>
      <c r="AB59" t="b">
        <v>0</v>
      </c>
      <c r="AC59" t="b">
        <v>0</v>
      </c>
      <c r="AD59" t="b">
        <v>0</v>
      </c>
      <c r="AE59" t="b">
        <v>0</v>
      </c>
    </row>
    <row r="60" spans="2:31">
      <c r="B60">
        <v>7001</v>
      </c>
      <c r="C60" t="s">
        <v>313</v>
      </c>
      <c r="D60" t="s">
        <v>314</v>
      </c>
      <c r="E60" t="s">
        <v>315</v>
      </c>
      <c r="H60" t="s">
        <v>140</v>
      </c>
      <c r="I60">
        <v>300</v>
      </c>
      <c r="J60">
        <v>300</v>
      </c>
      <c r="K60" t="b">
        <v>0</v>
      </c>
      <c r="L60" t="s">
        <v>100</v>
      </c>
      <c r="M60" t="b">
        <v>0</v>
      </c>
      <c r="N60">
        <v>1001</v>
      </c>
      <c r="O60">
        <v>300</v>
      </c>
      <c r="P60">
        <v>300</v>
      </c>
      <c r="T60" t="s">
        <v>316</v>
      </c>
      <c r="U60" t="s">
        <v>317</v>
      </c>
      <c r="X60">
        <v>107001</v>
      </c>
      <c r="Y60" t="s">
        <v>96</v>
      </c>
      <c r="AA60" t="b">
        <v>1</v>
      </c>
      <c r="AB60" t="b">
        <v>0</v>
      </c>
      <c r="AC60" t="b">
        <v>0</v>
      </c>
      <c r="AD60" t="b">
        <v>0</v>
      </c>
      <c r="AE60" t="b">
        <v>0</v>
      </c>
    </row>
    <row r="61" spans="2:31">
      <c r="B61">
        <v>7002</v>
      </c>
      <c r="C61" t="s">
        <v>318</v>
      </c>
      <c r="D61" t="s">
        <v>319</v>
      </c>
      <c r="E61" t="s">
        <v>315</v>
      </c>
      <c r="H61" t="s">
        <v>140</v>
      </c>
      <c r="I61">
        <v>300</v>
      </c>
      <c r="J61">
        <v>300</v>
      </c>
      <c r="K61" t="b">
        <v>0</v>
      </c>
      <c r="L61" t="s">
        <v>100</v>
      </c>
      <c r="M61" t="b">
        <v>0</v>
      </c>
      <c r="N61">
        <v>1001</v>
      </c>
      <c r="O61">
        <v>300</v>
      </c>
      <c r="P61">
        <v>300</v>
      </c>
      <c r="T61" t="s">
        <v>320</v>
      </c>
      <c r="U61" t="s">
        <v>321</v>
      </c>
      <c r="X61">
        <v>107002</v>
      </c>
      <c r="Y61" t="s">
        <v>96</v>
      </c>
      <c r="AA61" t="b">
        <v>1</v>
      </c>
      <c r="AB61" t="b">
        <v>0</v>
      </c>
      <c r="AC61" t="b">
        <v>0</v>
      </c>
      <c r="AD61" t="b">
        <v>0</v>
      </c>
      <c r="AE61" t="b">
        <v>0</v>
      </c>
    </row>
    <row r="62" spans="2:31">
      <c r="B62">
        <v>7003</v>
      </c>
      <c r="C62" t="s">
        <v>322</v>
      </c>
      <c r="D62" t="s">
        <v>323</v>
      </c>
      <c r="E62" t="s">
        <v>315</v>
      </c>
      <c r="H62" t="s">
        <v>140</v>
      </c>
      <c r="I62">
        <v>300</v>
      </c>
      <c r="J62">
        <v>300</v>
      </c>
      <c r="K62" t="b">
        <v>0</v>
      </c>
      <c r="L62" t="s">
        <v>100</v>
      </c>
      <c r="M62" t="b">
        <v>0</v>
      </c>
      <c r="N62">
        <v>1001</v>
      </c>
      <c r="O62">
        <v>300</v>
      </c>
      <c r="P62">
        <v>300</v>
      </c>
      <c r="T62" t="s">
        <v>324</v>
      </c>
      <c r="U62" t="s">
        <v>325</v>
      </c>
      <c r="X62">
        <v>107003</v>
      </c>
      <c r="Y62" t="s">
        <v>96</v>
      </c>
      <c r="AA62" t="b">
        <v>1</v>
      </c>
      <c r="AB62" t="b">
        <v>0</v>
      </c>
      <c r="AC62" t="b">
        <v>0</v>
      </c>
      <c r="AD62" t="b">
        <v>0</v>
      </c>
      <c r="AE62" t="b">
        <v>0</v>
      </c>
    </row>
    <row r="63" s="26" customFormat="1" spans="2:31">
      <c r="B63" s="26">
        <v>7004</v>
      </c>
      <c r="C63" s="26" t="s">
        <v>326</v>
      </c>
      <c r="D63" s="26" t="s">
        <v>327</v>
      </c>
      <c r="E63" s="26" t="s">
        <v>315</v>
      </c>
      <c r="H63" s="29" t="s">
        <v>92</v>
      </c>
      <c r="I63" s="26">
        <v>300</v>
      </c>
      <c r="J63" s="26">
        <v>0</v>
      </c>
      <c r="K63" s="26" t="b">
        <v>0</v>
      </c>
      <c r="L63" s="26" t="s">
        <v>93</v>
      </c>
      <c r="M63" s="26" t="b">
        <v>1</v>
      </c>
      <c r="N63" s="26">
        <v>0</v>
      </c>
      <c r="O63" s="26">
        <v>0</v>
      </c>
      <c r="P63" s="26">
        <v>0</v>
      </c>
      <c r="T63" s="26" t="s">
        <v>328</v>
      </c>
      <c r="U63" s="26" t="s">
        <v>329</v>
      </c>
      <c r="X63" s="26">
        <v>107004</v>
      </c>
      <c r="Y63" s="26" t="s">
        <v>96</v>
      </c>
      <c r="Z63" s="26"/>
      <c r="AA63" s="26" t="b">
        <v>1</v>
      </c>
      <c r="AB63" s="26" t="b">
        <v>0</v>
      </c>
      <c r="AC63" s="26" t="b">
        <v>0</v>
      </c>
      <c r="AD63" s="26" t="b">
        <v>0</v>
      </c>
      <c r="AE63" s="26" t="b">
        <v>0</v>
      </c>
    </row>
    <row r="64" spans="2:31">
      <c r="B64">
        <v>7005</v>
      </c>
      <c r="C64" t="s">
        <v>330</v>
      </c>
      <c r="D64" t="s">
        <v>331</v>
      </c>
      <c r="E64" t="s">
        <v>315</v>
      </c>
      <c r="H64" s="19" t="s">
        <v>121</v>
      </c>
      <c r="I64">
        <v>300</v>
      </c>
      <c r="J64">
        <v>300</v>
      </c>
      <c r="K64" t="b">
        <v>0</v>
      </c>
      <c r="L64" t="s">
        <v>100</v>
      </c>
      <c r="M64" t="b">
        <v>0</v>
      </c>
      <c r="N64">
        <v>1001</v>
      </c>
      <c r="O64">
        <v>300</v>
      </c>
      <c r="P64">
        <v>300</v>
      </c>
      <c r="T64" t="s">
        <v>332</v>
      </c>
      <c r="U64" t="s">
        <v>333</v>
      </c>
      <c r="X64">
        <v>107005</v>
      </c>
      <c r="Y64" t="s">
        <v>96</v>
      </c>
      <c r="AA64" t="b">
        <v>1</v>
      </c>
      <c r="AB64" t="b">
        <v>0</v>
      </c>
      <c r="AC64" t="b">
        <v>0</v>
      </c>
      <c r="AD64" t="b">
        <v>0</v>
      </c>
      <c r="AE64" t="b">
        <v>0</v>
      </c>
    </row>
    <row r="65" spans="1:35">
      <c r="B65">
        <v>7006</v>
      </c>
      <c r="C65" t="s">
        <v>334</v>
      </c>
      <c r="D65" t="s">
        <v>335</v>
      </c>
      <c r="E65" t="s">
        <v>315</v>
      </c>
      <c r="H65" s="19" t="s">
        <v>121</v>
      </c>
      <c r="I65">
        <v>300</v>
      </c>
      <c r="J65">
        <v>300</v>
      </c>
      <c r="K65" t="b">
        <v>0</v>
      </c>
      <c r="L65" t="s">
        <v>100</v>
      </c>
      <c r="M65" t="b">
        <v>0</v>
      </c>
      <c r="N65">
        <v>1001</v>
      </c>
      <c r="O65">
        <v>300</v>
      </c>
      <c r="P65">
        <v>300</v>
      </c>
      <c r="T65" t="s">
        <v>336</v>
      </c>
      <c r="U65" t="s">
        <v>337</v>
      </c>
      <c r="X65">
        <v>107006</v>
      </c>
      <c r="Y65" t="s">
        <v>96</v>
      </c>
      <c r="AA65" t="b">
        <v>1</v>
      </c>
      <c r="AB65" t="b">
        <v>0</v>
      </c>
      <c r="AC65" t="b">
        <v>0</v>
      </c>
      <c r="AD65" t="b">
        <v>0</v>
      </c>
      <c r="AE65" t="b">
        <v>0</v>
      </c>
    </row>
    <row r="66" spans="1:35">
      <c r="B66">
        <v>7007</v>
      </c>
      <c r="C66" t="s">
        <v>338</v>
      </c>
      <c r="D66" t="s">
        <v>339</v>
      </c>
      <c r="E66" t="s">
        <v>315</v>
      </c>
      <c r="H66" t="s">
        <v>140</v>
      </c>
      <c r="I66">
        <v>300</v>
      </c>
      <c r="J66">
        <v>300</v>
      </c>
      <c r="K66" t="b">
        <v>0</v>
      </c>
      <c r="L66" t="s">
        <v>100</v>
      </c>
      <c r="M66" t="b">
        <v>0</v>
      </c>
      <c r="N66">
        <v>1001</v>
      </c>
      <c r="O66">
        <v>300</v>
      </c>
      <c r="P66">
        <v>300</v>
      </c>
      <c r="T66" t="s">
        <v>340</v>
      </c>
      <c r="U66" t="s">
        <v>341</v>
      </c>
      <c r="X66">
        <v>107007</v>
      </c>
      <c r="Y66" t="s">
        <v>96</v>
      </c>
      <c r="AA66" t="b">
        <v>1</v>
      </c>
      <c r="AB66" t="b">
        <v>0</v>
      </c>
      <c r="AC66" t="b">
        <v>0</v>
      </c>
      <c r="AD66" t="b">
        <v>0</v>
      </c>
      <c r="AE66" t="b">
        <v>0</v>
      </c>
    </row>
    <row r="67" spans="1:35">
      <c r="B67">
        <v>7008</v>
      </c>
      <c r="C67" t="s">
        <v>342</v>
      </c>
      <c r="D67" t="s">
        <v>343</v>
      </c>
      <c r="E67" t="s">
        <v>315</v>
      </c>
      <c r="F67" t="s">
        <v>161</v>
      </c>
      <c r="G67" t="s">
        <v>161</v>
      </c>
      <c r="H67" t="s">
        <v>105</v>
      </c>
      <c r="I67">
        <v>300</v>
      </c>
      <c r="J67">
        <v>300</v>
      </c>
      <c r="K67" t="b">
        <v>0</v>
      </c>
      <c r="L67" t="s">
        <v>100</v>
      </c>
      <c r="M67" t="b">
        <v>0</v>
      </c>
      <c r="N67">
        <v>1001</v>
      </c>
      <c r="O67">
        <v>300</v>
      </c>
      <c r="P67">
        <v>300</v>
      </c>
      <c r="Q67" t="s">
        <v>161</v>
      </c>
      <c r="R67" t="s">
        <v>161</v>
      </c>
      <c r="S67" s="27" t="s">
        <v>161</v>
      </c>
      <c r="T67" t="s">
        <v>344</v>
      </c>
      <c r="U67" t="s">
        <v>345</v>
      </c>
      <c r="X67">
        <v>107008</v>
      </c>
      <c r="Y67" t="s">
        <v>96</v>
      </c>
      <c r="AA67" t="b">
        <v>1</v>
      </c>
      <c r="AB67" t="b">
        <v>0</v>
      </c>
      <c r="AC67" t="b">
        <v>0</v>
      </c>
      <c r="AD67" t="b">
        <v>0</v>
      </c>
      <c r="AE67" t="b">
        <v>0</v>
      </c>
    </row>
    <row r="68" spans="1:35">
      <c r="B68">
        <v>7009</v>
      </c>
      <c r="C68" t="s">
        <v>346</v>
      </c>
      <c r="D68" t="s">
        <v>347</v>
      </c>
      <c r="E68" t="s">
        <v>315</v>
      </c>
      <c r="F68" t="s">
        <v>161</v>
      </c>
      <c r="G68" t="s">
        <v>161</v>
      </c>
      <c r="H68" t="s">
        <v>121</v>
      </c>
      <c r="I68">
        <v>300</v>
      </c>
      <c r="J68">
        <v>300</v>
      </c>
      <c r="K68" t="b">
        <v>0</v>
      </c>
      <c r="L68" t="s">
        <v>100</v>
      </c>
      <c r="M68" t="b">
        <v>0</v>
      </c>
      <c r="N68">
        <v>1001</v>
      </c>
      <c r="O68">
        <v>300</v>
      </c>
      <c r="P68">
        <v>300</v>
      </c>
      <c r="Q68" t="s">
        <v>161</v>
      </c>
      <c r="R68" t="s">
        <v>161</v>
      </c>
      <c r="S68" s="27" t="s">
        <v>161</v>
      </c>
      <c r="T68" t="s">
        <v>348</v>
      </c>
      <c r="U68" t="s">
        <v>349</v>
      </c>
      <c r="X68">
        <v>107009</v>
      </c>
      <c r="Y68" t="s">
        <v>96</v>
      </c>
      <c r="AA68" t="b">
        <v>1</v>
      </c>
      <c r="AB68" t="b">
        <v>0</v>
      </c>
      <c r="AC68" t="b">
        <v>0</v>
      </c>
      <c r="AD68" t="b">
        <v>0</v>
      </c>
      <c r="AE68" t="b">
        <v>0</v>
      </c>
    </row>
    <row r="69" spans="1:35">
      <c r="B69">
        <v>7010</v>
      </c>
      <c r="C69" t="s">
        <v>350</v>
      </c>
      <c r="D69" t="s">
        <v>351</v>
      </c>
      <c r="E69" t="s">
        <v>315</v>
      </c>
      <c r="F69" t="s">
        <v>161</v>
      </c>
      <c r="G69" t="s">
        <v>161</v>
      </c>
      <c r="H69" t="s">
        <v>99</v>
      </c>
      <c r="I69">
        <v>300</v>
      </c>
      <c r="J69">
        <v>300</v>
      </c>
      <c r="K69" t="b">
        <v>0</v>
      </c>
      <c r="L69" t="s">
        <v>100</v>
      </c>
      <c r="M69" t="b">
        <v>0</v>
      </c>
      <c r="N69">
        <v>1001</v>
      </c>
      <c r="O69">
        <v>200</v>
      </c>
      <c r="P69">
        <v>200</v>
      </c>
      <c r="Q69" t="s">
        <v>161</v>
      </c>
      <c r="R69" t="s">
        <v>161</v>
      </c>
      <c r="S69" s="27" t="s">
        <v>161</v>
      </c>
      <c r="T69" t="s">
        <v>352</v>
      </c>
      <c r="U69" t="s">
        <v>353</v>
      </c>
      <c r="X69">
        <v>107010</v>
      </c>
      <c r="Y69" t="s">
        <v>96</v>
      </c>
      <c r="AA69" t="b">
        <v>1</v>
      </c>
      <c r="AB69" t="b">
        <v>0</v>
      </c>
      <c r="AC69" t="b">
        <v>0</v>
      </c>
      <c r="AD69" t="b">
        <v>0</v>
      </c>
      <c r="AE69" t="b">
        <v>0</v>
      </c>
    </row>
    <row r="70" spans="1:35">
      <c r="B70">
        <v>7011</v>
      </c>
      <c r="C70" t="s">
        <v>354</v>
      </c>
      <c r="D70" t="s">
        <v>355</v>
      </c>
      <c r="E70" t="s">
        <v>315</v>
      </c>
      <c r="F70" t="s">
        <v>161</v>
      </c>
      <c r="G70" t="s">
        <v>161</v>
      </c>
      <c r="H70" t="s">
        <v>121</v>
      </c>
      <c r="I70">
        <v>300</v>
      </c>
      <c r="J70">
        <v>300</v>
      </c>
      <c r="K70" t="b">
        <v>0</v>
      </c>
      <c r="L70" t="s">
        <v>100</v>
      </c>
      <c r="M70" t="b">
        <v>0</v>
      </c>
      <c r="N70">
        <v>1001</v>
      </c>
      <c r="O70">
        <v>300</v>
      </c>
      <c r="P70">
        <v>300</v>
      </c>
      <c r="Q70" t="s">
        <v>161</v>
      </c>
      <c r="R70" t="s">
        <v>161</v>
      </c>
      <c r="S70" s="27" t="s">
        <v>161</v>
      </c>
      <c r="T70" t="s">
        <v>356</v>
      </c>
      <c r="U70" t="s">
        <v>357</v>
      </c>
      <c r="X70">
        <v>107011</v>
      </c>
      <c r="Y70" t="s">
        <v>96</v>
      </c>
      <c r="AA70" t="b">
        <v>1</v>
      </c>
      <c r="AB70" t="b">
        <v>0</v>
      </c>
      <c r="AC70" t="b">
        <v>0</v>
      </c>
      <c r="AD70" t="b">
        <v>0</v>
      </c>
      <c r="AE70" t="b">
        <v>0</v>
      </c>
    </row>
    <row r="71" spans="1:35">
      <c r="B71">
        <v>7012</v>
      </c>
      <c r="C71" t="s">
        <v>358</v>
      </c>
      <c r="D71" t="s">
        <v>359</v>
      </c>
      <c r="E71" t="s">
        <v>315</v>
      </c>
      <c r="F71" t="s">
        <v>161</v>
      </c>
      <c r="G71" t="s">
        <v>161</v>
      </c>
      <c r="H71" t="s">
        <v>110</v>
      </c>
      <c r="I71">
        <v>300</v>
      </c>
      <c r="J71">
        <v>300</v>
      </c>
      <c r="K71" t="b">
        <v>0</v>
      </c>
      <c r="L71" t="s">
        <v>100</v>
      </c>
      <c r="M71" t="b">
        <v>0</v>
      </c>
      <c r="N71">
        <v>1001</v>
      </c>
      <c r="O71">
        <v>300</v>
      </c>
      <c r="P71">
        <v>300</v>
      </c>
      <c r="Q71" t="s">
        <v>161</v>
      </c>
      <c r="R71" t="s">
        <v>161</v>
      </c>
      <c r="S71" s="27" t="s">
        <v>161</v>
      </c>
      <c r="T71" t="s">
        <v>360</v>
      </c>
      <c r="U71" t="s">
        <v>361</v>
      </c>
      <c r="X71">
        <v>107012</v>
      </c>
      <c r="Y71" t="s">
        <v>96</v>
      </c>
      <c r="AA71" t="b">
        <v>1</v>
      </c>
      <c r="AB71" t="b">
        <v>0</v>
      </c>
      <c r="AC71" t="b">
        <v>0</v>
      </c>
      <c r="AD71" t="b">
        <v>0</v>
      </c>
      <c r="AE71" t="b">
        <v>0</v>
      </c>
    </row>
    <row r="72" spans="1:35">
      <c r="B72">
        <v>7013</v>
      </c>
      <c r="C72" t="s">
        <v>362</v>
      </c>
      <c r="D72" t="s">
        <v>363</v>
      </c>
      <c r="E72" t="s">
        <v>315</v>
      </c>
      <c r="F72" t="s">
        <v>161</v>
      </c>
      <c r="G72" t="s">
        <v>161</v>
      </c>
      <c r="H72" t="s">
        <v>121</v>
      </c>
      <c r="I72">
        <v>300</v>
      </c>
      <c r="J72">
        <v>300</v>
      </c>
      <c r="K72" t="b">
        <v>0</v>
      </c>
      <c r="L72" t="s">
        <v>100</v>
      </c>
      <c r="M72" t="b">
        <v>0</v>
      </c>
      <c r="N72">
        <v>1001</v>
      </c>
      <c r="O72">
        <v>300</v>
      </c>
      <c r="P72">
        <v>300</v>
      </c>
      <c r="Q72" t="s">
        <v>161</v>
      </c>
      <c r="R72" t="s">
        <v>161</v>
      </c>
      <c r="S72" s="27" t="s">
        <v>161</v>
      </c>
      <c r="T72" t="s">
        <v>364</v>
      </c>
      <c r="U72" t="s">
        <v>365</v>
      </c>
      <c r="X72">
        <v>107013</v>
      </c>
      <c r="Y72" t="s">
        <v>96</v>
      </c>
      <c r="AA72" t="b">
        <v>1</v>
      </c>
      <c r="AB72" t="b">
        <v>0</v>
      </c>
      <c r="AC72" t="b">
        <v>0</v>
      </c>
      <c r="AD72" t="b">
        <v>0</v>
      </c>
      <c r="AE72" t="b">
        <v>0</v>
      </c>
    </row>
    <row r="73" spans="1:35">
      <c r="B73">
        <v>7014</v>
      </c>
      <c r="C73" t="s">
        <v>366</v>
      </c>
      <c r="D73" t="s">
        <v>367</v>
      </c>
      <c r="E73" t="s">
        <v>315</v>
      </c>
      <c r="F73" t="s">
        <v>161</v>
      </c>
      <c r="G73" t="s">
        <v>161</v>
      </c>
      <c r="H73" t="s">
        <v>140</v>
      </c>
      <c r="I73">
        <v>300</v>
      </c>
      <c r="J73">
        <v>300</v>
      </c>
      <c r="K73" t="b">
        <v>0</v>
      </c>
      <c r="L73" t="s">
        <v>100</v>
      </c>
      <c r="M73" t="b">
        <v>0</v>
      </c>
      <c r="N73">
        <v>1001</v>
      </c>
      <c r="O73">
        <v>300</v>
      </c>
      <c r="P73">
        <v>300</v>
      </c>
      <c r="Q73" t="s">
        <v>161</v>
      </c>
      <c r="R73" t="s">
        <v>161</v>
      </c>
      <c r="S73" s="27" t="s">
        <v>161</v>
      </c>
      <c r="T73" t="s">
        <v>368</v>
      </c>
      <c r="U73" t="s">
        <v>369</v>
      </c>
      <c r="X73">
        <v>107014</v>
      </c>
      <c r="Y73" t="s">
        <v>96</v>
      </c>
      <c r="AA73" t="b">
        <v>1</v>
      </c>
      <c r="AB73" t="b">
        <v>0</v>
      </c>
      <c r="AC73" t="b">
        <v>0</v>
      </c>
      <c r="AD73" t="b">
        <v>0</v>
      </c>
      <c r="AE73" t="b">
        <v>0</v>
      </c>
    </row>
    <row r="74" spans="1:35">
      <c r="B74">
        <v>7015</v>
      </c>
      <c r="C74" t="s">
        <v>370</v>
      </c>
      <c r="D74" t="s">
        <v>371</v>
      </c>
      <c r="E74" t="s">
        <v>315</v>
      </c>
      <c r="F74" t="s">
        <v>161</v>
      </c>
      <c r="G74" t="s">
        <v>161</v>
      </c>
      <c r="H74" t="s">
        <v>140</v>
      </c>
      <c r="I74">
        <v>300</v>
      </c>
      <c r="J74">
        <v>300</v>
      </c>
      <c r="K74" t="b">
        <v>0</v>
      </c>
      <c r="L74" t="s">
        <v>100</v>
      </c>
      <c r="M74" t="b">
        <v>0</v>
      </c>
      <c r="N74">
        <v>1001</v>
      </c>
      <c r="O74">
        <v>300</v>
      </c>
      <c r="P74">
        <v>300</v>
      </c>
      <c r="Q74" t="s">
        <v>161</v>
      </c>
      <c r="R74" t="s">
        <v>161</v>
      </c>
      <c r="S74" s="27" t="s">
        <v>161</v>
      </c>
      <c r="T74" t="s">
        <v>372</v>
      </c>
      <c r="U74" t="s">
        <v>373</v>
      </c>
      <c r="X74">
        <v>107015</v>
      </c>
      <c r="Y74" t="s">
        <v>96</v>
      </c>
      <c r="AA74" t="b">
        <v>1</v>
      </c>
      <c r="AB74" t="b">
        <v>0</v>
      </c>
      <c r="AC74" t="b">
        <v>0</v>
      </c>
      <c r="AD74" t="b">
        <v>0</v>
      </c>
      <c r="AE74" t="b">
        <v>0</v>
      </c>
    </row>
    <row r="75" spans="1:35">
      <c r="B75">
        <v>7016</v>
      </c>
      <c r="C75" t="s">
        <v>374</v>
      </c>
      <c r="D75" t="s">
        <v>375</v>
      </c>
      <c r="E75" t="s">
        <v>315</v>
      </c>
      <c r="F75" t="s">
        <v>161</v>
      </c>
      <c r="G75" t="s">
        <v>161</v>
      </c>
      <c r="H75" t="s">
        <v>121</v>
      </c>
      <c r="I75">
        <v>300</v>
      </c>
      <c r="J75">
        <v>300</v>
      </c>
      <c r="K75" t="b">
        <v>0</v>
      </c>
      <c r="L75" t="s">
        <v>100</v>
      </c>
      <c r="M75" t="b">
        <v>0</v>
      </c>
      <c r="N75">
        <v>1001</v>
      </c>
      <c r="O75">
        <v>300</v>
      </c>
      <c r="P75">
        <v>300</v>
      </c>
      <c r="Q75" t="s">
        <v>161</v>
      </c>
      <c r="R75" t="s">
        <v>161</v>
      </c>
      <c r="S75" s="27" t="s">
        <v>161</v>
      </c>
      <c r="T75" t="s">
        <v>376</v>
      </c>
      <c r="U75" t="s">
        <v>377</v>
      </c>
      <c r="X75">
        <v>107016</v>
      </c>
      <c r="Y75" t="s">
        <v>96</v>
      </c>
      <c r="AA75" t="b">
        <v>1</v>
      </c>
      <c r="AB75" t="b">
        <v>0</v>
      </c>
      <c r="AC75" t="b">
        <v>0</v>
      </c>
      <c r="AD75" t="b">
        <v>0</v>
      </c>
      <c r="AE75" t="b">
        <v>0</v>
      </c>
    </row>
    <row r="76" spans="1:35">
      <c r="B76">
        <v>7017</v>
      </c>
      <c r="C76" t="s">
        <v>378</v>
      </c>
      <c r="D76" t="s">
        <v>379</v>
      </c>
      <c r="E76" t="s">
        <v>315</v>
      </c>
      <c r="F76" t="s">
        <v>161</v>
      </c>
      <c r="G76" t="s">
        <v>161</v>
      </c>
      <c r="H76" t="s">
        <v>105</v>
      </c>
      <c r="I76">
        <v>300</v>
      </c>
      <c r="J76">
        <v>300</v>
      </c>
      <c r="K76" t="b">
        <v>0</v>
      </c>
      <c r="L76" t="s">
        <v>100</v>
      </c>
      <c r="M76" t="b">
        <v>0</v>
      </c>
      <c r="N76">
        <v>1001</v>
      </c>
      <c r="O76">
        <v>300</v>
      </c>
      <c r="P76">
        <v>300</v>
      </c>
      <c r="Q76" t="s">
        <v>161</v>
      </c>
      <c r="R76" t="s">
        <v>161</v>
      </c>
      <c r="S76" s="27" t="s">
        <v>161</v>
      </c>
      <c r="T76" t="s">
        <v>380</v>
      </c>
      <c r="U76" t="s">
        <v>381</v>
      </c>
      <c r="X76">
        <v>107017</v>
      </c>
      <c r="Y76" t="s">
        <v>96</v>
      </c>
      <c r="AA76" t="b">
        <v>1</v>
      </c>
      <c r="AB76" t="b">
        <v>0</v>
      </c>
      <c r="AC76" t="b">
        <v>0</v>
      </c>
      <c r="AD76" t="b">
        <v>0</v>
      </c>
      <c r="AE76" t="b">
        <v>0</v>
      </c>
    </row>
    <row r="77" spans="1:35">
      <c r="B77">
        <v>7018</v>
      </c>
      <c r="C77" t="s">
        <v>382</v>
      </c>
      <c r="D77" t="s">
        <v>383</v>
      </c>
      <c r="E77" t="s">
        <v>315</v>
      </c>
      <c r="H77" t="s">
        <v>140</v>
      </c>
      <c r="I77">
        <v>300</v>
      </c>
      <c r="J77">
        <v>300</v>
      </c>
      <c r="K77" t="b">
        <v>0</v>
      </c>
      <c r="L77" t="s">
        <v>100</v>
      </c>
      <c r="M77" t="b">
        <v>0</v>
      </c>
      <c r="N77">
        <v>1001</v>
      </c>
      <c r="O77">
        <v>300</v>
      </c>
      <c r="P77">
        <v>300</v>
      </c>
      <c r="T77" t="s">
        <v>384</v>
      </c>
      <c r="U77" t="s">
        <v>385</v>
      </c>
      <c r="X77">
        <v>107018</v>
      </c>
      <c r="Y77" t="s">
        <v>96</v>
      </c>
      <c r="AA77" t="b">
        <v>1</v>
      </c>
      <c r="AB77" t="b">
        <v>0</v>
      </c>
      <c r="AC77" t="b">
        <v>0</v>
      </c>
      <c r="AD77" t="b">
        <v>0</v>
      </c>
      <c r="AE77" t="b">
        <v>0</v>
      </c>
    </row>
    <row r="78" spans="1:35">
      <c r="A78" t="s">
        <v>161</v>
      </c>
      <c r="B78">
        <v>7019</v>
      </c>
      <c r="C78" t="s">
        <v>386</v>
      </c>
      <c r="D78" t="s">
        <v>387</v>
      </c>
      <c r="E78" t="s">
        <v>315</v>
      </c>
      <c r="F78" t="s">
        <v>161</v>
      </c>
      <c r="G78" t="s">
        <v>161</v>
      </c>
      <c r="H78" t="s">
        <v>105</v>
      </c>
      <c r="I78">
        <v>300</v>
      </c>
      <c r="J78">
        <v>300</v>
      </c>
      <c r="K78" t="b">
        <v>0</v>
      </c>
      <c r="L78" t="s">
        <v>100</v>
      </c>
      <c r="M78" t="b">
        <v>0</v>
      </c>
      <c r="N78">
        <v>1001</v>
      </c>
      <c r="O78">
        <v>300</v>
      </c>
      <c r="P78">
        <v>300</v>
      </c>
      <c r="Q78" t="s">
        <v>161</v>
      </c>
      <c r="R78" t="s">
        <v>161</v>
      </c>
      <c r="S78" s="27" t="s">
        <v>161</v>
      </c>
      <c r="T78" t="s">
        <v>388</v>
      </c>
      <c r="U78" t="s">
        <v>389</v>
      </c>
      <c r="V78" t="s">
        <v>161</v>
      </c>
      <c r="W78" s="27" t="s">
        <v>161</v>
      </c>
      <c r="X78">
        <v>107019</v>
      </c>
      <c r="Y78" t="s">
        <v>96</v>
      </c>
      <c r="AA78" t="b">
        <v>1</v>
      </c>
      <c r="AB78" t="b">
        <v>0</v>
      </c>
      <c r="AC78" t="b">
        <v>0</v>
      </c>
      <c r="AD78" t="b">
        <v>0</v>
      </c>
      <c r="AE78" t="b">
        <v>0</v>
      </c>
      <c r="AF78" t="s">
        <v>161</v>
      </c>
      <c r="AG78" t="s">
        <v>161</v>
      </c>
      <c r="AH78" t="s">
        <v>161</v>
      </c>
      <c r="AI78" t="s">
        <v>161</v>
      </c>
    </row>
    <row r="79" spans="1:35">
      <c r="B79">
        <v>8001</v>
      </c>
      <c r="C79" t="s">
        <v>390</v>
      </c>
      <c r="D79" t="s">
        <v>391</v>
      </c>
      <c r="E79" t="s">
        <v>392</v>
      </c>
      <c r="F79" t="s">
        <v>161</v>
      </c>
      <c r="G79" t="s">
        <v>161</v>
      </c>
      <c r="H79" t="s">
        <v>121</v>
      </c>
      <c r="I79">
        <v>300</v>
      </c>
      <c r="J79">
        <v>300</v>
      </c>
      <c r="K79" t="b">
        <v>0</v>
      </c>
      <c r="L79" t="s">
        <v>100</v>
      </c>
      <c r="M79" t="b">
        <v>0</v>
      </c>
      <c r="N79">
        <v>1001</v>
      </c>
      <c r="O79">
        <v>300</v>
      </c>
      <c r="P79">
        <v>300</v>
      </c>
      <c r="Q79" t="s">
        <v>161</v>
      </c>
      <c r="R79" t="s">
        <v>161</v>
      </c>
      <c r="S79" s="27" t="s">
        <v>161</v>
      </c>
      <c r="T79" t="s">
        <v>393</v>
      </c>
      <c r="U79" t="s">
        <v>394</v>
      </c>
      <c r="X79">
        <v>108001</v>
      </c>
      <c r="Y79" t="s">
        <v>96</v>
      </c>
      <c r="AA79" t="b">
        <v>1</v>
      </c>
      <c r="AB79" t="b">
        <v>0</v>
      </c>
      <c r="AC79" t="b">
        <v>0</v>
      </c>
      <c r="AD79" t="b">
        <v>0</v>
      </c>
      <c r="AE79" t="b">
        <v>0</v>
      </c>
    </row>
    <row r="80" spans="1:35">
      <c r="B80">
        <v>8003</v>
      </c>
      <c r="C80" t="s">
        <v>395</v>
      </c>
      <c r="D80" t="s">
        <v>396</v>
      </c>
      <c r="E80" t="s">
        <v>392</v>
      </c>
      <c r="F80" t="s">
        <v>161</v>
      </c>
      <c r="G80" t="s">
        <v>161</v>
      </c>
      <c r="H80" t="s">
        <v>121</v>
      </c>
      <c r="I80">
        <v>300</v>
      </c>
      <c r="J80">
        <v>300</v>
      </c>
      <c r="K80" t="b">
        <v>0</v>
      </c>
      <c r="L80" t="s">
        <v>100</v>
      </c>
      <c r="M80" t="b">
        <v>0</v>
      </c>
      <c r="N80">
        <v>1001</v>
      </c>
      <c r="O80">
        <v>300</v>
      </c>
      <c r="P80">
        <v>300</v>
      </c>
      <c r="Q80" t="s">
        <v>161</v>
      </c>
      <c r="R80" t="s">
        <v>161</v>
      </c>
      <c r="S80" s="27" t="s">
        <v>161</v>
      </c>
      <c r="T80" t="s">
        <v>397</v>
      </c>
      <c r="U80" t="s">
        <v>398</v>
      </c>
      <c r="X80">
        <v>108003</v>
      </c>
      <c r="Y80" t="s">
        <v>96</v>
      </c>
      <c r="AA80" t="b">
        <v>1</v>
      </c>
      <c r="AB80" t="b">
        <v>0</v>
      </c>
      <c r="AC80" t="b">
        <v>0</v>
      </c>
      <c r="AD80" t="b">
        <v>0</v>
      </c>
      <c r="AE80" t="b">
        <v>0</v>
      </c>
    </row>
    <row r="81" spans="1:35">
      <c r="B81">
        <v>8004</v>
      </c>
      <c r="C81" t="s">
        <v>399</v>
      </c>
      <c r="D81" t="s">
        <v>400</v>
      </c>
      <c r="E81" t="s">
        <v>392</v>
      </c>
      <c r="F81" t="s">
        <v>161</v>
      </c>
      <c r="G81" t="s">
        <v>161</v>
      </c>
      <c r="H81" t="s">
        <v>105</v>
      </c>
      <c r="I81">
        <v>300</v>
      </c>
      <c r="J81">
        <v>300</v>
      </c>
      <c r="K81" t="b">
        <v>0</v>
      </c>
      <c r="L81" t="s">
        <v>100</v>
      </c>
      <c r="M81" t="b">
        <v>0</v>
      </c>
      <c r="N81">
        <v>1001</v>
      </c>
      <c r="O81">
        <v>300</v>
      </c>
      <c r="P81">
        <v>300</v>
      </c>
      <c r="Q81" t="s">
        <v>161</v>
      </c>
      <c r="R81" t="s">
        <v>161</v>
      </c>
      <c r="S81" s="27" t="s">
        <v>161</v>
      </c>
      <c r="T81" t="s">
        <v>401</v>
      </c>
      <c r="U81" t="s">
        <v>402</v>
      </c>
      <c r="X81">
        <v>108004</v>
      </c>
      <c r="Y81" t="s">
        <v>96</v>
      </c>
      <c r="AA81" t="b">
        <v>1</v>
      </c>
      <c r="AB81" t="b">
        <v>0</v>
      </c>
      <c r="AC81" t="b">
        <v>0</v>
      </c>
      <c r="AD81" t="b">
        <v>0</v>
      </c>
      <c r="AE81" t="b">
        <v>0</v>
      </c>
    </row>
    <row r="82" spans="1:35">
      <c r="B82">
        <v>8005</v>
      </c>
      <c r="C82" t="s">
        <v>403</v>
      </c>
      <c r="D82" t="s">
        <v>404</v>
      </c>
      <c r="E82" t="s">
        <v>392</v>
      </c>
      <c r="F82" t="s">
        <v>161</v>
      </c>
      <c r="G82" t="s">
        <v>161</v>
      </c>
      <c r="H82" t="s">
        <v>140</v>
      </c>
      <c r="I82">
        <v>300</v>
      </c>
      <c r="J82">
        <v>300</v>
      </c>
      <c r="K82" t="b">
        <v>0</v>
      </c>
      <c r="L82" t="s">
        <v>100</v>
      </c>
      <c r="M82" t="b">
        <v>0</v>
      </c>
      <c r="N82">
        <v>1001</v>
      </c>
      <c r="O82">
        <v>300</v>
      </c>
      <c r="P82">
        <v>300</v>
      </c>
      <c r="Q82" t="s">
        <v>161</v>
      </c>
      <c r="R82" t="s">
        <v>161</v>
      </c>
      <c r="S82" s="27" t="s">
        <v>161</v>
      </c>
      <c r="T82" t="s">
        <v>405</v>
      </c>
      <c r="U82" t="s">
        <v>406</v>
      </c>
      <c r="X82">
        <v>108005</v>
      </c>
      <c r="Y82" t="s">
        <v>96</v>
      </c>
      <c r="AA82" t="b">
        <v>1</v>
      </c>
      <c r="AB82" t="b">
        <v>0</v>
      </c>
      <c r="AC82" t="b">
        <v>0</v>
      </c>
      <c r="AD82" t="b">
        <v>0</v>
      </c>
      <c r="AE82" t="b">
        <v>0</v>
      </c>
    </row>
    <row r="83" spans="1:35">
      <c r="B83">
        <v>8007</v>
      </c>
      <c r="C83" t="s">
        <v>407</v>
      </c>
      <c r="D83" t="s">
        <v>408</v>
      </c>
      <c r="E83" t="s">
        <v>392</v>
      </c>
      <c r="F83" t="s">
        <v>161</v>
      </c>
      <c r="G83" t="s">
        <v>161</v>
      </c>
      <c r="H83" t="s">
        <v>110</v>
      </c>
      <c r="I83">
        <v>300</v>
      </c>
      <c r="J83">
        <v>300</v>
      </c>
      <c r="K83" t="b">
        <v>0</v>
      </c>
      <c r="L83" t="s">
        <v>100</v>
      </c>
      <c r="M83" t="b">
        <v>0</v>
      </c>
      <c r="N83">
        <v>1001</v>
      </c>
      <c r="O83">
        <v>300</v>
      </c>
      <c r="P83">
        <v>300</v>
      </c>
      <c r="Q83" t="s">
        <v>161</v>
      </c>
      <c r="R83" t="s">
        <v>161</v>
      </c>
      <c r="S83" s="27" t="s">
        <v>161</v>
      </c>
      <c r="T83" t="s">
        <v>409</v>
      </c>
      <c r="U83" t="s">
        <v>410</v>
      </c>
      <c r="X83">
        <v>108007</v>
      </c>
      <c r="Y83" t="s">
        <v>96</v>
      </c>
      <c r="AA83" t="b">
        <v>1</v>
      </c>
      <c r="AB83" t="b">
        <v>0</v>
      </c>
      <c r="AC83" t="b">
        <v>0</v>
      </c>
      <c r="AD83" t="b">
        <v>0</v>
      </c>
      <c r="AE83" t="b">
        <v>0</v>
      </c>
    </row>
    <row r="84" spans="1:35">
      <c r="B84">
        <v>8008</v>
      </c>
      <c r="C84" t="s">
        <v>411</v>
      </c>
      <c r="D84" t="s">
        <v>412</v>
      </c>
      <c r="E84" t="s">
        <v>392</v>
      </c>
      <c r="F84" t="s">
        <v>161</v>
      </c>
      <c r="G84" t="s">
        <v>161</v>
      </c>
      <c r="H84" t="s">
        <v>110</v>
      </c>
      <c r="I84">
        <v>300</v>
      </c>
      <c r="J84">
        <v>300</v>
      </c>
      <c r="K84" t="b">
        <v>0</v>
      </c>
      <c r="L84" t="s">
        <v>100</v>
      </c>
      <c r="M84" t="b">
        <v>0</v>
      </c>
      <c r="N84">
        <v>1001</v>
      </c>
      <c r="O84">
        <v>300</v>
      </c>
      <c r="P84">
        <v>300</v>
      </c>
      <c r="Q84" t="s">
        <v>161</v>
      </c>
      <c r="R84" t="s">
        <v>161</v>
      </c>
      <c r="S84" s="27" t="s">
        <v>161</v>
      </c>
      <c r="T84" t="s">
        <v>413</v>
      </c>
      <c r="U84" t="s">
        <v>414</v>
      </c>
      <c r="X84">
        <v>108008</v>
      </c>
      <c r="Y84" t="s">
        <v>96</v>
      </c>
      <c r="AA84" t="b">
        <v>1</v>
      </c>
      <c r="AB84" t="b">
        <v>0</v>
      </c>
      <c r="AC84" t="b">
        <v>0</v>
      </c>
      <c r="AD84" t="b">
        <v>0</v>
      </c>
      <c r="AE84" t="b">
        <v>0</v>
      </c>
    </row>
    <row r="85" spans="1:35">
      <c r="B85">
        <v>8009</v>
      </c>
      <c r="C85" t="s">
        <v>415</v>
      </c>
      <c r="D85" t="s">
        <v>416</v>
      </c>
      <c r="E85" t="s">
        <v>392</v>
      </c>
      <c r="H85" t="s">
        <v>140</v>
      </c>
      <c r="I85">
        <v>300</v>
      </c>
      <c r="J85">
        <v>300</v>
      </c>
      <c r="K85" t="b">
        <v>0</v>
      </c>
      <c r="L85" t="s">
        <v>100</v>
      </c>
      <c r="M85" t="b">
        <v>0</v>
      </c>
      <c r="N85">
        <v>1001</v>
      </c>
      <c r="O85">
        <v>300</v>
      </c>
      <c r="P85">
        <v>300</v>
      </c>
      <c r="T85" t="s">
        <v>417</v>
      </c>
      <c r="U85" t="s">
        <v>418</v>
      </c>
      <c r="X85">
        <v>108009</v>
      </c>
      <c r="Y85" t="s">
        <v>96</v>
      </c>
      <c r="AA85" t="b">
        <v>1</v>
      </c>
      <c r="AB85" t="b">
        <v>0</v>
      </c>
      <c r="AC85" t="b">
        <v>0</v>
      </c>
      <c r="AD85" t="b">
        <v>0</v>
      </c>
      <c r="AE85" t="b">
        <v>0</v>
      </c>
    </row>
    <row r="86" spans="1:35">
      <c r="B86">
        <v>8010</v>
      </c>
      <c r="C86" t="s">
        <v>419</v>
      </c>
      <c r="D86" t="s">
        <v>420</v>
      </c>
      <c r="E86" t="s">
        <v>392</v>
      </c>
      <c r="H86" t="s">
        <v>140</v>
      </c>
      <c r="I86">
        <v>300</v>
      </c>
      <c r="J86">
        <v>300</v>
      </c>
      <c r="K86" t="b">
        <v>0</v>
      </c>
      <c r="L86" t="s">
        <v>100</v>
      </c>
      <c r="M86" t="b">
        <v>0</v>
      </c>
      <c r="N86">
        <v>1001</v>
      </c>
      <c r="O86">
        <v>300</v>
      </c>
      <c r="P86">
        <v>300</v>
      </c>
      <c r="T86" t="s">
        <v>421</v>
      </c>
      <c r="U86" t="s">
        <v>422</v>
      </c>
      <c r="X86">
        <v>108010</v>
      </c>
      <c r="Y86" t="s">
        <v>96</v>
      </c>
      <c r="AA86" t="b">
        <v>1</v>
      </c>
      <c r="AB86" t="b">
        <v>0</v>
      </c>
      <c r="AC86" t="b">
        <v>0</v>
      </c>
      <c r="AD86" t="b">
        <v>0</v>
      </c>
      <c r="AE86" t="b">
        <v>0</v>
      </c>
    </row>
    <row r="87" spans="1:35">
      <c r="B87">
        <v>8011</v>
      </c>
      <c r="C87" t="s">
        <v>423</v>
      </c>
      <c r="D87" t="s">
        <v>424</v>
      </c>
      <c r="E87" t="s">
        <v>392</v>
      </c>
      <c r="H87" t="s">
        <v>99</v>
      </c>
      <c r="I87">
        <v>300</v>
      </c>
      <c r="J87">
        <v>300</v>
      </c>
      <c r="K87" t="b">
        <v>0</v>
      </c>
      <c r="L87" t="s">
        <v>100</v>
      </c>
      <c r="M87" t="b">
        <v>0</v>
      </c>
      <c r="N87">
        <v>1001</v>
      </c>
      <c r="O87">
        <v>50</v>
      </c>
      <c r="P87">
        <v>50</v>
      </c>
      <c r="T87" t="s">
        <v>425</v>
      </c>
      <c r="U87" t="s">
        <v>426</v>
      </c>
      <c r="X87">
        <v>108011</v>
      </c>
      <c r="Y87" t="s">
        <v>96</v>
      </c>
      <c r="AA87" t="b">
        <v>1</v>
      </c>
      <c r="AB87" t="b">
        <v>0</v>
      </c>
      <c r="AC87" t="b">
        <v>0</v>
      </c>
      <c r="AD87" t="b">
        <v>0</v>
      </c>
      <c r="AE87" t="b">
        <v>0</v>
      </c>
    </row>
    <row r="88" spans="1:35">
      <c r="A88" t="s">
        <v>161</v>
      </c>
      <c r="B88">
        <v>8012</v>
      </c>
      <c r="C88" t="s">
        <v>427</v>
      </c>
      <c r="D88" t="s">
        <v>428</v>
      </c>
      <c r="E88" t="s">
        <v>392</v>
      </c>
      <c r="F88" t="s">
        <v>161</v>
      </c>
      <c r="G88" t="s">
        <v>161</v>
      </c>
      <c r="H88" t="s">
        <v>121</v>
      </c>
      <c r="I88">
        <v>300</v>
      </c>
      <c r="J88">
        <v>300</v>
      </c>
      <c r="K88" t="b">
        <v>0</v>
      </c>
      <c r="L88" t="s">
        <v>100</v>
      </c>
      <c r="M88" t="b">
        <v>0</v>
      </c>
      <c r="N88">
        <v>1001</v>
      </c>
      <c r="O88">
        <v>300</v>
      </c>
      <c r="P88">
        <v>300</v>
      </c>
      <c r="Q88" t="s">
        <v>161</v>
      </c>
      <c r="R88" t="s">
        <v>161</v>
      </c>
      <c r="S88" s="27" t="s">
        <v>161</v>
      </c>
      <c r="T88" t="s">
        <v>429</v>
      </c>
      <c r="U88" t="s">
        <v>430</v>
      </c>
      <c r="V88" t="s">
        <v>161</v>
      </c>
      <c r="W88" s="27" t="s">
        <v>161</v>
      </c>
      <c r="X88">
        <v>108012</v>
      </c>
      <c r="Y88" t="s">
        <v>96</v>
      </c>
      <c r="AA88" t="b">
        <v>1</v>
      </c>
      <c r="AB88" t="b">
        <v>0</v>
      </c>
      <c r="AC88" t="b">
        <v>0</v>
      </c>
      <c r="AD88" t="b">
        <v>0</v>
      </c>
      <c r="AE88" t="b">
        <v>0</v>
      </c>
      <c r="AF88" t="s">
        <v>161</v>
      </c>
      <c r="AG88" t="s">
        <v>161</v>
      </c>
      <c r="AH88" t="s">
        <v>161</v>
      </c>
      <c r="AI88" t="s">
        <v>161</v>
      </c>
    </row>
    <row r="89" spans="1:35">
      <c r="A89" t="s">
        <v>161</v>
      </c>
      <c r="B89">
        <v>8013</v>
      </c>
      <c r="C89" t="s">
        <v>431</v>
      </c>
      <c r="D89" t="s">
        <v>432</v>
      </c>
      <c r="E89" t="s">
        <v>392</v>
      </c>
      <c r="F89" t="s">
        <v>161</v>
      </c>
      <c r="G89" t="s">
        <v>161</v>
      </c>
      <c r="H89" t="s">
        <v>110</v>
      </c>
      <c r="I89">
        <v>300</v>
      </c>
      <c r="J89">
        <v>300</v>
      </c>
      <c r="K89" t="b">
        <v>0</v>
      </c>
      <c r="L89" t="s">
        <v>100</v>
      </c>
      <c r="M89" t="b">
        <v>0</v>
      </c>
      <c r="N89">
        <v>1001</v>
      </c>
      <c r="O89">
        <v>300</v>
      </c>
      <c r="P89">
        <v>300</v>
      </c>
      <c r="Q89" t="s">
        <v>161</v>
      </c>
      <c r="R89" t="s">
        <v>161</v>
      </c>
      <c r="S89" s="27" t="s">
        <v>161</v>
      </c>
      <c r="T89" t="s">
        <v>433</v>
      </c>
      <c r="U89" t="s">
        <v>434</v>
      </c>
      <c r="V89" t="s">
        <v>161</v>
      </c>
      <c r="W89" s="27" t="s">
        <v>161</v>
      </c>
      <c r="X89">
        <v>108013</v>
      </c>
      <c r="Y89" t="s">
        <v>96</v>
      </c>
      <c r="AA89" t="b">
        <v>1</v>
      </c>
      <c r="AB89" t="b">
        <v>0</v>
      </c>
      <c r="AC89" t="b">
        <v>0</v>
      </c>
      <c r="AD89" t="b">
        <v>0</v>
      </c>
      <c r="AE89" t="b">
        <v>0</v>
      </c>
      <c r="AF89" t="s">
        <v>161</v>
      </c>
      <c r="AG89" t="s">
        <v>161</v>
      </c>
      <c r="AH89" t="s">
        <v>161</v>
      </c>
      <c r="AI89" t="s">
        <v>161</v>
      </c>
    </row>
    <row r="90" spans="1:35">
      <c r="B90">
        <v>9001</v>
      </c>
      <c r="C90" t="s">
        <v>435</v>
      </c>
      <c r="D90" t="s">
        <v>436</v>
      </c>
      <c r="E90" t="s">
        <v>437</v>
      </c>
      <c r="H90" t="s">
        <v>105</v>
      </c>
      <c r="I90">
        <v>200</v>
      </c>
      <c r="J90">
        <v>300</v>
      </c>
      <c r="K90" t="b">
        <v>0</v>
      </c>
      <c r="L90" t="s">
        <v>438</v>
      </c>
      <c r="M90" t="b">
        <v>0</v>
      </c>
      <c r="N90">
        <v>1001</v>
      </c>
      <c r="O90">
        <v>0</v>
      </c>
      <c r="P90">
        <v>0</v>
      </c>
      <c r="Q90">
        <v>300</v>
      </c>
      <c r="T90" t="s">
        <v>439</v>
      </c>
      <c r="U90" t="s">
        <v>440</v>
      </c>
      <c r="X90">
        <v>109001</v>
      </c>
      <c r="Y90" t="s">
        <v>96</v>
      </c>
      <c r="AA90" t="b">
        <v>1</v>
      </c>
      <c r="AB90" t="b">
        <v>0</v>
      </c>
      <c r="AC90" t="b">
        <v>0</v>
      </c>
      <c r="AD90" t="b">
        <v>1</v>
      </c>
      <c r="AE90" t="b">
        <v>0</v>
      </c>
    </row>
    <row r="91" spans="1:35">
      <c r="B91">
        <v>9002</v>
      </c>
      <c r="C91" t="s">
        <v>441</v>
      </c>
      <c r="D91" t="s">
        <v>442</v>
      </c>
      <c r="E91" t="s">
        <v>437</v>
      </c>
      <c r="F91" t="s">
        <v>443</v>
      </c>
      <c r="G91">
        <v>9009</v>
      </c>
      <c r="H91" t="s">
        <v>121</v>
      </c>
      <c r="I91">
        <v>200</v>
      </c>
      <c r="J91">
        <v>300</v>
      </c>
      <c r="K91" t="b">
        <v>0</v>
      </c>
      <c r="L91" t="s">
        <v>438</v>
      </c>
      <c r="M91" t="b">
        <v>0</v>
      </c>
      <c r="N91">
        <v>1001</v>
      </c>
      <c r="O91">
        <v>0</v>
      </c>
      <c r="P91">
        <v>0</v>
      </c>
      <c r="Q91">
        <v>300</v>
      </c>
      <c r="T91" t="s">
        <v>444</v>
      </c>
      <c r="U91" t="s">
        <v>445</v>
      </c>
      <c r="W91" s="27" t="s">
        <v>446</v>
      </c>
      <c r="X91">
        <v>109002</v>
      </c>
      <c r="Y91" t="s">
        <v>96</v>
      </c>
      <c r="AA91" t="b">
        <v>1</v>
      </c>
      <c r="AB91" t="b">
        <v>0</v>
      </c>
      <c r="AC91" t="b">
        <v>0</v>
      </c>
      <c r="AD91" t="b">
        <v>1</v>
      </c>
      <c r="AE91" t="b">
        <v>0</v>
      </c>
    </row>
    <row r="92" spans="1:35">
      <c r="B92">
        <v>9003</v>
      </c>
      <c r="C92" t="s">
        <v>447</v>
      </c>
      <c r="D92" t="s">
        <v>448</v>
      </c>
      <c r="E92" t="s">
        <v>437</v>
      </c>
      <c r="F92" t="s">
        <v>443</v>
      </c>
      <c r="G92">
        <v>9009</v>
      </c>
      <c r="H92" t="s">
        <v>121</v>
      </c>
      <c r="I92">
        <v>200</v>
      </c>
      <c r="J92">
        <v>300</v>
      </c>
      <c r="K92" t="b">
        <v>0</v>
      </c>
      <c r="L92" t="s">
        <v>438</v>
      </c>
      <c r="M92" t="b">
        <v>0</v>
      </c>
      <c r="N92">
        <v>1001</v>
      </c>
      <c r="O92">
        <v>0</v>
      </c>
      <c r="P92">
        <v>0</v>
      </c>
      <c r="Q92">
        <v>300</v>
      </c>
      <c r="T92" t="s">
        <v>449</v>
      </c>
      <c r="U92" t="s">
        <v>450</v>
      </c>
      <c r="W92" s="27" t="s">
        <v>446</v>
      </c>
      <c r="X92">
        <v>109003</v>
      </c>
      <c r="Y92" t="s">
        <v>96</v>
      </c>
      <c r="AA92" t="b">
        <v>1</v>
      </c>
      <c r="AB92" t="b">
        <v>0</v>
      </c>
      <c r="AC92" t="b">
        <v>0</v>
      </c>
      <c r="AD92" t="b">
        <v>1</v>
      </c>
      <c r="AE92" t="b">
        <v>0</v>
      </c>
    </row>
    <row r="93" spans="1:35">
      <c r="B93">
        <v>9004</v>
      </c>
      <c r="C93" t="s">
        <v>451</v>
      </c>
      <c r="D93" t="s">
        <v>452</v>
      </c>
      <c r="E93" t="s">
        <v>437</v>
      </c>
      <c r="F93" t="s">
        <v>443</v>
      </c>
      <c r="G93">
        <v>9009</v>
      </c>
      <c r="H93" t="s">
        <v>105</v>
      </c>
      <c r="I93">
        <v>200</v>
      </c>
      <c r="J93">
        <v>300</v>
      </c>
      <c r="K93" t="b">
        <v>0</v>
      </c>
      <c r="L93" t="s">
        <v>438</v>
      </c>
      <c r="M93" t="b">
        <v>0</v>
      </c>
      <c r="N93">
        <v>1001</v>
      </c>
      <c r="O93">
        <v>0</v>
      </c>
      <c r="P93">
        <v>0</v>
      </c>
      <c r="Q93">
        <v>300</v>
      </c>
      <c r="T93" t="s">
        <v>453</v>
      </c>
      <c r="U93" t="s">
        <v>454</v>
      </c>
      <c r="W93" s="27" t="s">
        <v>446</v>
      </c>
      <c r="X93">
        <v>109004</v>
      </c>
      <c r="Y93" t="s">
        <v>96</v>
      </c>
      <c r="AA93" t="b">
        <v>1</v>
      </c>
      <c r="AB93" t="b">
        <v>0</v>
      </c>
      <c r="AC93" t="b">
        <v>0</v>
      </c>
      <c r="AD93" t="b">
        <v>1</v>
      </c>
      <c r="AE93" t="b">
        <v>0</v>
      </c>
    </row>
    <row r="94" spans="1:35">
      <c r="B94">
        <v>9005</v>
      </c>
      <c r="C94" t="s">
        <v>455</v>
      </c>
      <c r="D94" t="s">
        <v>456</v>
      </c>
      <c r="E94" t="s">
        <v>437</v>
      </c>
      <c r="F94" t="s">
        <v>443</v>
      </c>
      <c r="G94">
        <v>9009</v>
      </c>
      <c r="H94" t="s">
        <v>121</v>
      </c>
      <c r="I94">
        <v>200</v>
      </c>
      <c r="J94">
        <v>300</v>
      </c>
      <c r="K94" t="b">
        <v>0</v>
      </c>
      <c r="L94" t="s">
        <v>438</v>
      </c>
      <c r="M94" t="b">
        <v>0</v>
      </c>
      <c r="N94">
        <v>1001</v>
      </c>
      <c r="O94">
        <v>0</v>
      </c>
      <c r="P94">
        <v>0</v>
      </c>
      <c r="Q94">
        <v>300</v>
      </c>
      <c r="T94" t="s">
        <v>457</v>
      </c>
      <c r="U94" t="s">
        <v>458</v>
      </c>
      <c r="W94" s="27" t="s">
        <v>446</v>
      </c>
      <c r="X94">
        <v>109005</v>
      </c>
      <c r="Y94" t="s">
        <v>96</v>
      </c>
      <c r="AA94" t="b">
        <v>1</v>
      </c>
      <c r="AB94" t="b">
        <v>0</v>
      </c>
      <c r="AC94" t="b">
        <v>0</v>
      </c>
      <c r="AD94" t="b">
        <v>1</v>
      </c>
      <c r="AE94" t="b">
        <v>0</v>
      </c>
    </row>
    <row r="95" spans="1:35">
      <c r="B95">
        <v>9006</v>
      </c>
      <c r="C95" t="s">
        <v>459</v>
      </c>
      <c r="D95" t="s">
        <v>460</v>
      </c>
      <c r="E95" t="s">
        <v>437</v>
      </c>
      <c r="F95" t="s">
        <v>443</v>
      </c>
      <c r="G95">
        <v>9009</v>
      </c>
      <c r="H95" t="s">
        <v>121</v>
      </c>
      <c r="I95">
        <v>200</v>
      </c>
      <c r="J95">
        <v>300</v>
      </c>
      <c r="K95" t="b">
        <v>0</v>
      </c>
      <c r="L95" t="s">
        <v>438</v>
      </c>
      <c r="M95" t="b">
        <v>0</v>
      </c>
      <c r="N95">
        <v>1001</v>
      </c>
      <c r="O95">
        <v>0</v>
      </c>
      <c r="P95">
        <v>0</v>
      </c>
      <c r="Q95">
        <v>300</v>
      </c>
      <c r="T95" t="s">
        <v>461</v>
      </c>
      <c r="U95" t="s">
        <v>462</v>
      </c>
      <c r="W95" s="27" t="s">
        <v>446</v>
      </c>
      <c r="X95">
        <v>109006</v>
      </c>
      <c r="Y95" t="s">
        <v>96</v>
      </c>
      <c r="AA95" t="b">
        <v>1</v>
      </c>
      <c r="AB95" t="b">
        <v>0</v>
      </c>
      <c r="AC95" t="b">
        <v>0</v>
      </c>
      <c r="AD95" t="b">
        <v>1</v>
      </c>
      <c r="AE95" t="b">
        <v>0</v>
      </c>
    </row>
    <row r="96" spans="1:35">
      <c r="B96">
        <v>9007</v>
      </c>
      <c r="C96" t="s">
        <v>463</v>
      </c>
      <c r="D96" t="s">
        <v>464</v>
      </c>
      <c r="E96" t="s">
        <v>437</v>
      </c>
      <c r="F96" t="s">
        <v>443</v>
      </c>
      <c r="G96">
        <v>9009</v>
      </c>
      <c r="H96" t="s">
        <v>121</v>
      </c>
      <c r="I96">
        <v>200</v>
      </c>
      <c r="J96">
        <v>300</v>
      </c>
      <c r="K96" t="b">
        <v>0</v>
      </c>
      <c r="L96" t="s">
        <v>438</v>
      </c>
      <c r="M96" t="b">
        <v>0</v>
      </c>
      <c r="N96">
        <v>1001</v>
      </c>
      <c r="O96">
        <v>0</v>
      </c>
      <c r="P96">
        <v>0</v>
      </c>
      <c r="Q96">
        <v>300</v>
      </c>
      <c r="T96" t="s">
        <v>465</v>
      </c>
      <c r="U96" t="s">
        <v>466</v>
      </c>
      <c r="W96" s="27" t="s">
        <v>446</v>
      </c>
      <c r="X96">
        <v>109007</v>
      </c>
      <c r="Y96" t="s">
        <v>96</v>
      </c>
      <c r="AA96" t="b">
        <v>1</v>
      </c>
      <c r="AB96" t="b">
        <v>0</v>
      </c>
      <c r="AC96" t="b">
        <v>0</v>
      </c>
      <c r="AD96" t="b">
        <v>1</v>
      </c>
      <c r="AE96" t="b">
        <v>0</v>
      </c>
    </row>
    <row r="97" spans="2:31">
      <c r="B97">
        <v>9008</v>
      </c>
      <c r="C97" t="s">
        <v>467</v>
      </c>
      <c r="D97" t="s">
        <v>468</v>
      </c>
      <c r="E97" t="s">
        <v>437</v>
      </c>
      <c r="F97" t="s">
        <v>443</v>
      </c>
      <c r="G97">
        <v>9009</v>
      </c>
      <c r="H97" t="s">
        <v>105</v>
      </c>
      <c r="I97">
        <v>200</v>
      </c>
      <c r="J97">
        <v>300</v>
      </c>
      <c r="K97" t="b">
        <v>0</v>
      </c>
      <c r="L97" t="s">
        <v>438</v>
      </c>
      <c r="M97" t="b">
        <v>0</v>
      </c>
      <c r="N97">
        <v>1001</v>
      </c>
      <c r="O97">
        <v>0</v>
      </c>
      <c r="P97">
        <v>0</v>
      </c>
      <c r="Q97">
        <v>300</v>
      </c>
      <c r="T97" t="s">
        <v>469</v>
      </c>
      <c r="U97" t="s">
        <v>470</v>
      </c>
      <c r="W97" s="27" t="s">
        <v>446</v>
      </c>
      <c r="X97">
        <v>109008</v>
      </c>
      <c r="Y97" t="s">
        <v>96</v>
      </c>
      <c r="AA97" t="b">
        <v>1</v>
      </c>
      <c r="AB97" t="b">
        <v>0</v>
      </c>
      <c r="AC97" t="b">
        <v>0</v>
      </c>
      <c r="AD97" t="b">
        <v>1</v>
      </c>
      <c r="AE97" t="b">
        <v>0</v>
      </c>
    </row>
    <row r="98" spans="2:31">
      <c r="B98">
        <v>9009</v>
      </c>
      <c r="C98" t="s">
        <v>471</v>
      </c>
      <c r="D98" t="s">
        <v>472</v>
      </c>
      <c r="E98" t="s">
        <v>437</v>
      </c>
      <c r="H98" t="s">
        <v>140</v>
      </c>
      <c r="I98">
        <v>200</v>
      </c>
      <c r="J98">
        <v>300</v>
      </c>
      <c r="K98" t="b">
        <v>0</v>
      </c>
      <c r="L98" t="s">
        <v>438</v>
      </c>
      <c r="M98" t="b">
        <v>1</v>
      </c>
      <c r="N98">
        <v>0</v>
      </c>
      <c r="O98">
        <v>0</v>
      </c>
      <c r="P98">
        <v>0</v>
      </c>
      <c r="Q98">
        <v>300</v>
      </c>
      <c r="T98" t="s">
        <v>473</v>
      </c>
      <c r="U98" t="s">
        <v>474</v>
      </c>
      <c r="W98" s="27" t="s">
        <v>446</v>
      </c>
      <c r="X98">
        <v>109009</v>
      </c>
      <c r="Y98" t="s">
        <v>96</v>
      </c>
      <c r="AA98" t="b">
        <v>1</v>
      </c>
      <c r="AB98" t="b">
        <v>0</v>
      </c>
      <c r="AC98" t="b">
        <v>0</v>
      </c>
      <c r="AD98" t="b">
        <v>1</v>
      </c>
      <c r="AE98" t="b">
        <v>0</v>
      </c>
    </row>
    <row r="99" spans="2:31">
      <c r="B99">
        <v>9010</v>
      </c>
      <c r="C99" t="s">
        <v>475</v>
      </c>
      <c r="D99" t="s">
        <v>476</v>
      </c>
      <c r="E99" t="s">
        <v>437</v>
      </c>
      <c r="F99" t="s">
        <v>443</v>
      </c>
      <c r="G99">
        <v>9009</v>
      </c>
      <c r="H99" t="s">
        <v>105</v>
      </c>
      <c r="I99">
        <v>200</v>
      </c>
      <c r="J99">
        <v>300</v>
      </c>
      <c r="K99" t="b">
        <v>0</v>
      </c>
      <c r="L99" t="s">
        <v>438</v>
      </c>
      <c r="M99" t="b">
        <v>0</v>
      </c>
      <c r="N99">
        <v>1001</v>
      </c>
      <c r="O99">
        <v>0</v>
      </c>
      <c r="P99">
        <v>0</v>
      </c>
      <c r="Q99">
        <v>300</v>
      </c>
      <c r="T99" t="s">
        <v>477</v>
      </c>
      <c r="U99" t="s">
        <v>478</v>
      </c>
      <c r="X99">
        <v>109010</v>
      </c>
      <c r="Y99" t="s">
        <v>96</v>
      </c>
      <c r="AA99" t="b">
        <v>1</v>
      </c>
      <c r="AB99" t="b">
        <v>0</v>
      </c>
      <c r="AC99" t="b">
        <v>0</v>
      </c>
      <c r="AD99" t="b">
        <v>1</v>
      </c>
      <c r="AE99" t="b">
        <v>0</v>
      </c>
    </row>
    <row r="100" spans="2:31">
      <c r="B100">
        <v>9011</v>
      </c>
      <c r="C100" t="s">
        <v>479</v>
      </c>
      <c r="D100" t="s">
        <v>480</v>
      </c>
      <c r="E100" t="s">
        <v>437</v>
      </c>
      <c r="F100" t="s">
        <v>443</v>
      </c>
      <c r="G100">
        <v>9009</v>
      </c>
      <c r="H100" t="s">
        <v>110</v>
      </c>
      <c r="I100">
        <v>200</v>
      </c>
      <c r="J100">
        <v>300</v>
      </c>
      <c r="K100" t="b">
        <v>0</v>
      </c>
      <c r="L100" t="s">
        <v>438</v>
      </c>
      <c r="M100" t="b">
        <v>0</v>
      </c>
      <c r="N100">
        <v>1001</v>
      </c>
      <c r="O100">
        <v>0</v>
      </c>
      <c r="P100">
        <v>0</v>
      </c>
      <c r="Q100">
        <v>300</v>
      </c>
      <c r="T100" t="s">
        <v>481</v>
      </c>
      <c r="U100" t="s">
        <v>482</v>
      </c>
      <c r="W100" s="27" t="s">
        <v>446</v>
      </c>
      <c r="X100">
        <v>109011</v>
      </c>
      <c r="Y100" t="s">
        <v>96</v>
      </c>
      <c r="AA100" t="b">
        <v>1</v>
      </c>
      <c r="AB100" t="b">
        <v>0</v>
      </c>
      <c r="AC100" t="b">
        <v>0</v>
      </c>
      <c r="AD100" t="b">
        <v>1</v>
      </c>
      <c r="AE100" t="b">
        <v>0</v>
      </c>
    </row>
    <row r="101" s="26" customFormat="1" spans="2:31">
      <c r="B101" s="26">
        <v>10001</v>
      </c>
      <c r="C101" s="26" t="s">
        <v>483</v>
      </c>
      <c r="D101" s="26" t="s">
        <v>484</v>
      </c>
      <c r="E101" s="26" t="s">
        <v>485</v>
      </c>
      <c r="H101" s="26" t="s">
        <v>92</v>
      </c>
      <c r="I101" s="26">
        <v>300</v>
      </c>
      <c r="J101" s="26">
        <v>0</v>
      </c>
      <c r="K101" s="26" t="b">
        <v>1</v>
      </c>
      <c r="L101" s="26" t="s">
        <v>93</v>
      </c>
      <c r="M101" s="26" t="b">
        <v>1</v>
      </c>
      <c r="N101" s="26">
        <v>0</v>
      </c>
      <c r="O101" s="26">
        <v>0</v>
      </c>
      <c r="P101" s="26">
        <v>0</v>
      </c>
      <c r="T101" s="26" t="s">
        <v>486</v>
      </c>
      <c r="U101" s="26" t="s">
        <v>487</v>
      </c>
      <c r="X101" s="26">
        <v>110001</v>
      </c>
      <c r="Y101" s="26" t="s">
        <v>96</v>
      </c>
      <c r="Z101" s="26"/>
      <c r="AA101" s="26" t="b">
        <v>1</v>
      </c>
      <c r="AB101" s="26" t="b">
        <v>0</v>
      </c>
      <c r="AC101" s="26" t="b">
        <v>0</v>
      </c>
      <c r="AD101" s="26" t="b">
        <v>0</v>
      </c>
      <c r="AE101" s="26" t="b">
        <v>0</v>
      </c>
    </row>
    <row r="102" s="26" customFormat="1" spans="2:31">
      <c r="B102" s="26">
        <v>11001</v>
      </c>
      <c r="C102" s="26" t="s">
        <v>488</v>
      </c>
      <c r="D102" s="26" t="s">
        <v>489</v>
      </c>
      <c r="E102" s="26" t="s">
        <v>490</v>
      </c>
      <c r="H102" s="26" t="s">
        <v>92</v>
      </c>
      <c r="I102" s="26">
        <v>300</v>
      </c>
      <c r="J102" s="26">
        <v>0</v>
      </c>
      <c r="K102" s="26" t="b">
        <v>1</v>
      </c>
      <c r="L102" s="26" t="s">
        <v>93</v>
      </c>
      <c r="M102" s="26" t="b">
        <v>1</v>
      </c>
      <c r="N102" s="26">
        <v>0</v>
      </c>
      <c r="O102" s="26">
        <v>0</v>
      </c>
      <c r="P102" s="26">
        <v>0</v>
      </c>
      <c r="T102" s="26" t="s">
        <v>491</v>
      </c>
      <c r="U102" s="26" t="s">
        <v>492</v>
      </c>
      <c r="W102" s="26" t="s">
        <v>493</v>
      </c>
      <c r="X102" s="26">
        <v>111001</v>
      </c>
      <c r="Y102" s="26" t="s">
        <v>96</v>
      </c>
      <c r="Z102" s="26"/>
      <c r="AA102" s="26" t="b">
        <v>1</v>
      </c>
      <c r="AB102" s="26" t="b">
        <v>0</v>
      </c>
      <c r="AC102" s="26" t="b">
        <v>0</v>
      </c>
      <c r="AD102" s="26" t="b">
        <v>0</v>
      </c>
      <c r="AE102" s="26" t="b">
        <v>0</v>
      </c>
    </row>
    <row r="103" s="26" customFormat="1" spans="2:31">
      <c r="B103" s="26">
        <v>11002</v>
      </c>
      <c r="C103" s="26" t="s">
        <v>494</v>
      </c>
      <c r="D103" s="26" t="s">
        <v>495</v>
      </c>
      <c r="E103" s="26" t="s">
        <v>490</v>
      </c>
      <c r="G103" s="26">
        <v>11001</v>
      </c>
      <c r="H103" s="26" t="s">
        <v>92</v>
      </c>
      <c r="I103" s="26">
        <v>300</v>
      </c>
      <c r="J103" s="26">
        <v>0</v>
      </c>
      <c r="K103" s="26" t="b">
        <v>1</v>
      </c>
      <c r="L103" s="26" t="s">
        <v>93</v>
      </c>
      <c r="M103" s="26" t="b">
        <v>1</v>
      </c>
      <c r="N103" s="26">
        <v>0</v>
      </c>
      <c r="O103" s="26">
        <v>0</v>
      </c>
      <c r="P103" s="26">
        <v>0</v>
      </c>
      <c r="T103" s="26" t="s">
        <v>491</v>
      </c>
      <c r="U103" s="26" t="s">
        <v>496</v>
      </c>
      <c r="X103" s="26">
        <v>111002</v>
      </c>
      <c r="Y103" s="26" t="s">
        <v>96</v>
      </c>
      <c r="Z103" s="26"/>
      <c r="AA103" s="26" t="b">
        <v>1</v>
      </c>
      <c r="AB103" s="26" t="b">
        <v>0</v>
      </c>
      <c r="AC103" s="26" t="b">
        <v>0</v>
      </c>
      <c r="AD103" s="26" t="b">
        <v>0</v>
      </c>
      <c r="AE103" s="26" t="b">
        <v>0</v>
      </c>
    </row>
    <row r="104" spans="2:31">
      <c r="B104">
        <v>12001</v>
      </c>
      <c r="C104" t="s">
        <v>497</v>
      </c>
      <c r="D104" t="s">
        <v>498</v>
      </c>
      <c r="E104" t="s">
        <v>499</v>
      </c>
      <c r="F104" t="s">
        <v>161</v>
      </c>
      <c r="G104" t="s">
        <v>161</v>
      </c>
      <c r="H104" s="19" t="s">
        <v>121</v>
      </c>
      <c r="I104">
        <v>300</v>
      </c>
      <c r="J104">
        <v>300</v>
      </c>
      <c r="K104" t="b">
        <v>0</v>
      </c>
      <c r="L104" t="s">
        <v>100</v>
      </c>
      <c r="M104" t="b">
        <v>0</v>
      </c>
      <c r="N104">
        <v>1001</v>
      </c>
      <c r="O104">
        <v>300</v>
      </c>
      <c r="P104">
        <v>300</v>
      </c>
      <c r="Q104" t="s">
        <v>161</v>
      </c>
      <c r="R104" t="s">
        <v>161</v>
      </c>
      <c r="S104" s="27" t="s">
        <v>161</v>
      </c>
      <c r="T104" t="s">
        <v>500</v>
      </c>
      <c r="U104" t="s">
        <v>501</v>
      </c>
      <c r="X104">
        <v>112001</v>
      </c>
      <c r="Y104" t="s">
        <v>96</v>
      </c>
      <c r="AA104" t="b">
        <v>1</v>
      </c>
      <c r="AB104" t="b">
        <v>0</v>
      </c>
      <c r="AC104" t="b">
        <v>0</v>
      </c>
      <c r="AD104" t="b">
        <v>0</v>
      </c>
      <c r="AE104" t="b">
        <v>0</v>
      </c>
    </row>
    <row r="105" spans="2:31">
      <c r="B105">
        <v>12002</v>
      </c>
      <c r="C105" t="s">
        <v>502</v>
      </c>
      <c r="D105" t="s">
        <v>503</v>
      </c>
      <c r="E105" t="s">
        <v>499</v>
      </c>
      <c r="F105" t="s">
        <v>161</v>
      </c>
      <c r="G105" t="s">
        <v>161</v>
      </c>
      <c r="H105" s="19" t="s">
        <v>140</v>
      </c>
      <c r="I105">
        <v>300</v>
      </c>
      <c r="J105">
        <v>300</v>
      </c>
      <c r="K105" t="b">
        <v>0</v>
      </c>
      <c r="L105" t="s">
        <v>100</v>
      </c>
      <c r="M105" t="b">
        <v>0</v>
      </c>
      <c r="N105">
        <v>1001</v>
      </c>
      <c r="O105">
        <v>300</v>
      </c>
      <c r="P105">
        <v>300</v>
      </c>
      <c r="Q105" t="s">
        <v>161</v>
      </c>
      <c r="R105" t="s">
        <v>161</v>
      </c>
      <c r="S105" s="27" t="s">
        <v>161</v>
      </c>
      <c r="T105" t="s">
        <v>504</v>
      </c>
      <c r="U105" t="s">
        <v>505</v>
      </c>
      <c r="X105">
        <v>112002</v>
      </c>
      <c r="Y105" t="s">
        <v>96</v>
      </c>
      <c r="AA105" t="b">
        <v>1</v>
      </c>
      <c r="AB105" t="b">
        <v>0</v>
      </c>
      <c r="AC105" t="b">
        <v>0</v>
      </c>
      <c r="AD105" t="b">
        <v>0</v>
      </c>
      <c r="AE105" t="b">
        <v>0</v>
      </c>
    </row>
    <row r="106" customFormat="1" spans="2:31">
      <c r="B106">
        <v>92005</v>
      </c>
      <c r="C106" t="s">
        <v>155</v>
      </c>
      <c r="D106" t="s">
        <v>506</v>
      </c>
      <c r="E106" t="s">
        <v>139</v>
      </c>
      <c r="H106" t="s">
        <v>507</v>
      </c>
      <c r="I106">
        <v>100</v>
      </c>
      <c r="J106">
        <v>300</v>
      </c>
      <c r="K106" t="b">
        <v>0</v>
      </c>
      <c r="L106" t="s">
        <v>508</v>
      </c>
      <c r="M106" t="b">
        <v>0</v>
      </c>
      <c r="N106">
        <v>1001</v>
      </c>
      <c r="R106">
        <v>100</v>
      </c>
      <c r="S106" s="27"/>
      <c r="T106" t="s">
        <v>157</v>
      </c>
      <c r="U106" t="s">
        <v>158</v>
      </c>
      <c r="W106" s="27" t="s">
        <v>509</v>
      </c>
      <c r="X106">
        <v>192005</v>
      </c>
      <c r="Y106" t="s">
        <v>96</v>
      </c>
      <c r="Z106"/>
      <c r="AA106" t="b">
        <v>1</v>
      </c>
      <c r="AB106" t="b">
        <v>0</v>
      </c>
      <c r="AC106" t="b">
        <v>0</v>
      </c>
      <c r="AD106" t="b">
        <v>0</v>
      </c>
      <c r="AE106" t="b">
        <v>0</v>
      </c>
    </row>
    <row r="107" customFormat="1" spans="2:31">
      <c r="B107">
        <v>91012</v>
      </c>
      <c r="C107" t="s">
        <v>510</v>
      </c>
      <c r="D107" t="s">
        <v>511</v>
      </c>
      <c r="E107" t="s">
        <v>91</v>
      </c>
      <c r="H107" t="s">
        <v>507</v>
      </c>
      <c r="I107">
        <v>100</v>
      </c>
      <c r="J107">
        <v>100</v>
      </c>
      <c r="K107" t="b">
        <v>0</v>
      </c>
      <c r="L107" t="s">
        <v>508</v>
      </c>
      <c r="M107" t="b">
        <v>0</v>
      </c>
      <c r="N107">
        <v>1001</v>
      </c>
      <c r="R107">
        <v>100</v>
      </c>
      <c r="S107" s="27"/>
      <c r="T107" t="s">
        <v>111</v>
      </c>
      <c r="U107" t="s">
        <v>136</v>
      </c>
      <c r="V107">
        <v>1012</v>
      </c>
      <c r="W107" s="27" t="s">
        <v>509</v>
      </c>
      <c r="X107">
        <v>191012</v>
      </c>
      <c r="Y107" t="s">
        <v>96</v>
      </c>
      <c r="Z107"/>
      <c r="AA107" t="b">
        <v>1</v>
      </c>
      <c r="AB107" t="b">
        <v>0</v>
      </c>
      <c r="AC107" t="b">
        <v>0</v>
      </c>
      <c r="AD107" t="b">
        <v>0</v>
      </c>
      <c r="AE107" t="b">
        <v>0</v>
      </c>
    </row>
  </sheetData>
  <conditionalFormatting sqref="H$1:H$1048576">
    <cfRule type="cellIs" dxfId="0" priority="2" operator="equal">
      <formula>"普通"</formula>
    </cfRule>
    <cfRule type="cellIs" dxfId="1" priority="3" operator="equal">
      <formula>"神话"</formula>
    </cfRule>
    <cfRule type="cellIs" dxfId="2" priority="4" operator="equal">
      <formula>"优秀"</formula>
    </cfRule>
    <cfRule type="cellIs" dxfId="3" priority="5" operator="equal">
      <formula>"稀有"</formula>
    </cfRule>
    <cfRule type="cellIs" dxfId="4" priority="6" operator="equal">
      <formula>"史诗"</formula>
    </cfRule>
    <cfRule type="cellIs" dxfId="5" priority="7" operator="equal">
      <formula>"传说"</formula>
    </cfRule>
  </conditionalFormatting>
  <conditionalFormatting sqref="L$1:L$1048576">
    <cfRule type="cellIs" dxfId="6" priority="1" operator="equal">
      <formula>"初始拥有"</formula>
    </cfRule>
  </conditionalFormatting>
  <dataValidations count="2">
    <dataValidation type="list" allowBlank="1" showInputMessage="1" showErrorMessage="1" sqref="H5:H16 H18:H27 H30:H77 H79:H86 H90:H108">
      <formula1>表说明!$F$2:$F$9</formula1>
    </dataValidation>
    <dataValidation type="list" allowBlank="1" showInputMessage="1" showErrorMessage="1" sqref="L5:L16 L18:L27 L30:L77 L79:L87 L90:L108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21" t="s">
        <v>512</v>
      </c>
      <c r="B1" s="22"/>
      <c r="C1" s="22"/>
      <c r="D1" s="23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</row>
    <row r="2" spans="1:21">
      <c r="B2" s="16" t="s">
        <v>91</v>
      </c>
      <c r="C2" s="16" t="s">
        <v>513</v>
      </c>
      <c r="E2" t="s">
        <v>514</v>
      </c>
      <c r="F2" t="s">
        <v>99</v>
      </c>
      <c r="G2" s="16"/>
      <c r="H2" s="16" t="s">
        <v>515</v>
      </c>
      <c r="I2" s="16" t="s">
        <v>212</v>
      </c>
      <c r="J2" s="16">
        <v>1</v>
      </c>
      <c r="K2" s="16" t="s">
        <v>516</v>
      </c>
      <c r="O2" s="16" t="s">
        <v>517</v>
      </c>
      <c r="P2" s="16" t="s">
        <v>518</v>
      </c>
    </row>
    <row r="3" spans="1:21">
      <c r="B3" s="16" t="s">
        <v>139</v>
      </c>
      <c r="C3" s="16" t="s">
        <v>519</v>
      </c>
      <c r="E3" s="16" t="s">
        <v>520</v>
      </c>
      <c r="F3" s="16" t="s">
        <v>110</v>
      </c>
      <c r="G3" s="16"/>
      <c r="H3" s="16" t="s">
        <v>521</v>
      </c>
      <c r="I3" s="16" t="s">
        <v>522</v>
      </c>
      <c r="J3" s="16">
        <v>2</v>
      </c>
      <c r="K3" s="16" t="s">
        <v>523</v>
      </c>
      <c r="O3" s="16" t="s">
        <v>524</v>
      </c>
      <c r="P3" s="16" t="s">
        <v>525</v>
      </c>
    </row>
    <row r="4" spans="1:21">
      <c r="B4" s="16" t="s">
        <v>190</v>
      </c>
      <c r="C4" s="16" t="s">
        <v>526</v>
      </c>
      <c r="E4" s="16" t="s">
        <v>527</v>
      </c>
      <c r="F4" s="16" t="s">
        <v>105</v>
      </c>
      <c r="G4" s="16"/>
      <c r="H4" s="16" t="s">
        <v>528</v>
      </c>
      <c r="I4" s="16" t="s">
        <v>529</v>
      </c>
      <c r="J4" s="16">
        <v>4</v>
      </c>
      <c r="K4" s="16" t="s">
        <v>530</v>
      </c>
      <c r="O4" s="16" t="s">
        <v>531</v>
      </c>
      <c r="P4" s="16" t="s">
        <v>532</v>
      </c>
    </row>
    <row r="5" spans="1:21">
      <c r="B5" s="16" t="s">
        <v>211</v>
      </c>
      <c r="C5" s="16" t="s">
        <v>533</v>
      </c>
      <c r="E5" s="16" t="s">
        <v>534</v>
      </c>
      <c r="F5" s="16" t="s">
        <v>121</v>
      </c>
      <c r="G5" s="16"/>
      <c r="H5" s="16" t="s">
        <v>535</v>
      </c>
      <c r="I5" s="16" t="s">
        <v>536</v>
      </c>
      <c r="J5" s="16">
        <v>8</v>
      </c>
      <c r="K5" s="16" t="s">
        <v>537</v>
      </c>
      <c r="O5" s="16" t="s">
        <v>538</v>
      </c>
      <c r="P5" s="16" t="s">
        <v>539</v>
      </c>
    </row>
    <row r="6" spans="1:21">
      <c r="B6" s="16" t="s">
        <v>237</v>
      </c>
      <c r="C6" s="16" t="s">
        <v>540</v>
      </c>
      <c r="E6" t="s">
        <v>541</v>
      </c>
      <c r="F6" t="s">
        <v>140</v>
      </c>
      <c r="G6" s="16"/>
      <c r="H6" s="16" t="s">
        <v>542</v>
      </c>
      <c r="I6" s="16" t="s">
        <v>543</v>
      </c>
      <c r="J6" s="16">
        <v>16</v>
      </c>
      <c r="K6" s="16" t="s">
        <v>544</v>
      </c>
      <c r="O6" s="16" t="s">
        <v>545</v>
      </c>
      <c r="P6" s="16" t="s">
        <v>546</v>
      </c>
    </row>
    <row r="7" spans="1:21">
      <c r="B7" s="16" t="s">
        <v>270</v>
      </c>
      <c r="C7" s="16" t="s">
        <v>547</v>
      </c>
      <c r="E7" s="16" t="s">
        <v>548</v>
      </c>
      <c r="F7" s="16" t="s">
        <v>92</v>
      </c>
      <c r="G7" s="16"/>
      <c r="H7" s="16" t="s">
        <v>549</v>
      </c>
      <c r="I7" s="16" t="s">
        <v>550</v>
      </c>
      <c r="J7" s="16">
        <v>32</v>
      </c>
      <c r="K7" s="16" t="s">
        <v>551</v>
      </c>
      <c r="O7" s="16" t="s">
        <v>552</v>
      </c>
      <c r="P7" s="16" t="s">
        <v>553</v>
      </c>
    </row>
    <row r="8" spans="1:21">
      <c r="B8" s="16" t="s">
        <v>315</v>
      </c>
      <c r="C8" s="16" t="s">
        <v>554</v>
      </c>
      <c r="E8" s="16" t="s">
        <v>555</v>
      </c>
      <c r="F8" s="16" t="s">
        <v>507</v>
      </c>
      <c r="H8" s="16" t="s">
        <v>556</v>
      </c>
      <c r="I8" s="16" t="s">
        <v>557</v>
      </c>
      <c r="J8" s="16">
        <v>64</v>
      </c>
      <c r="K8" s="16" t="s">
        <v>558</v>
      </c>
      <c r="O8" s="16" t="s">
        <v>559</v>
      </c>
      <c r="P8" s="16" t="s">
        <v>560</v>
      </c>
    </row>
    <row r="9" spans="1:21">
      <c r="B9" s="16" t="s">
        <v>392</v>
      </c>
      <c r="C9" s="16" t="s">
        <v>561</v>
      </c>
      <c r="E9" s="16" t="s">
        <v>562</v>
      </c>
      <c r="F9" s="16" t="s">
        <v>563</v>
      </c>
      <c r="H9" s="16" t="s">
        <v>564</v>
      </c>
      <c r="I9" s="16" t="s">
        <v>565</v>
      </c>
      <c r="J9" s="16">
        <v>128</v>
      </c>
      <c r="K9" s="16" t="s">
        <v>566</v>
      </c>
      <c r="O9" s="16" t="s">
        <v>567</v>
      </c>
      <c r="P9" s="16" t="s">
        <v>568</v>
      </c>
    </row>
    <row r="10" spans="1:21">
      <c r="B10" s="16" t="s">
        <v>437</v>
      </c>
      <c r="C10" s="16" t="s">
        <v>569</v>
      </c>
      <c r="H10" s="16" t="s">
        <v>570</v>
      </c>
      <c r="I10" s="16" t="s">
        <v>571</v>
      </c>
      <c r="J10" s="16">
        <v>256</v>
      </c>
      <c r="K10" s="16" t="s">
        <v>572</v>
      </c>
    </row>
    <row r="11" spans="1:21">
      <c r="B11" s="16" t="s">
        <v>485</v>
      </c>
      <c r="C11" s="16" t="s">
        <v>573</v>
      </c>
      <c r="H11" s="16" t="s">
        <v>574</v>
      </c>
      <c r="I11" s="16" t="s">
        <v>575</v>
      </c>
      <c r="J11" s="16">
        <v>512</v>
      </c>
      <c r="K11" s="16" t="s">
        <v>576</v>
      </c>
    </row>
    <row r="12" spans="1:21">
      <c r="B12" s="16" t="s">
        <v>490</v>
      </c>
      <c r="C12" s="16" t="s">
        <v>577</v>
      </c>
      <c r="H12" s="16" t="s">
        <v>578</v>
      </c>
      <c r="I12" s="16" t="s">
        <v>579</v>
      </c>
      <c r="J12" s="16">
        <v>1024</v>
      </c>
      <c r="K12" s="16" t="s">
        <v>580</v>
      </c>
    </row>
    <row r="13" spans="1:21">
      <c r="B13" s="16" t="s">
        <v>499</v>
      </c>
      <c r="C13" s="16" t="s">
        <v>581</v>
      </c>
      <c r="H13" s="16" t="s">
        <v>582</v>
      </c>
      <c r="I13" s="16" t="s">
        <v>583</v>
      </c>
      <c r="J13" s="16">
        <v>2048</v>
      </c>
      <c r="K13" s="16" t="s">
        <v>584</v>
      </c>
    </row>
    <row r="18" spans="1:21">
      <c r="B18" s="16" t="s">
        <v>585</v>
      </c>
      <c r="C18" s="16" t="s">
        <v>93</v>
      </c>
    </row>
    <row r="19" spans="1:21">
      <c r="B19" s="16" t="s">
        <v>586</v>
      </c>
      <c r="C19" s="16" t="s">
        <v>100</v>
      </c>
    </row>
    <row r="20" spans="1:21">
      <c r="B20" s="16" t="s">
        <v>587</v>
      </c>
      <c r="C20" s="16" t="s">
        <v>438</v>
      </c>
    </row>
    <row r="21" spans="1:21">
      <c r="B21" s="16" t="s">
        <v>588</v>
      </c>
      <c r="C21" s="16" t="s">
        <v>508</v>
      </c>
    </row>
    <row r="22" spans="1:21">
      <c r="B22" s="16" t="s">
        <v>589</v>
      </c>
      <c r="C22" s="16" t="s">
        <v>590</v>
      </c>
    </row>
    <row r="23" spans="1:21">
      <c r="B23" s="16" t="s">
        <v>591</v>
      </c>
      <c r="C23" s="16" t="s">
        <v>592</v>
      </c>
    </row>
    <row r="32" spans="1:21">
      <c r="A32" s="21" t="s">
        <v>593</v>
      </c>
      <c r="B32" s="21"/>
      <c r="C32" s="21"/>
      <c r="D32" s="24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</row>
    <row r="34" s="5" customFormat="1" spans="1:2">
      <c r="A34" s="25" t="s">
        <v>594</v>
      </c>
      <c r="B34" s="5" t="s">
        <v>595</v>
      </c>
    </row>
    <row r="35" s="5" customFormat="1" spans="1:2">
      <c r="A35" s="25" t="s">
        <v>596</v>
      </c>
      <c r="B35" s="5" t="s">
        <v>597</v>
      </c>
    </row>
    <row r="36" s="5" customFormat="1" spans="1:2">
      <c r="A36" s="8" t="s">
        <v>598</v>
      </c>
      <c r="B36" s="5" t="s">
        <v>599</v>
      </c>
    </row>
    <row r="37" s="5" customFormat="1" spans="1:2">
      <c r="A37" s="8"/>
    </row>
    <row r="38" s="5" customFormat="1" spans="1:2">
      <c r="A38" s="25" t="s">
        <v>594</v>
      </c>
      <c r="B38" s="5" t="s">
        <v>600</v>
      </c>
    </row>
    <row r="39" s="5" customFormat="1" spans="1:2">
      <c r="A39" s="25" t="s">
        <v>596</v>
      </c>
      <c r="B39" s="5" t="s">
        <v>601</v>
      </c>
    </row>
    <row r="40" s="5" customFormat="1" spans="1:2">
      <c r="A40" s="25" t="s">
        <v>602</v>
      </c>
      <c r="B40" s="5" t="s">
        <v>603</v>
      </c>
    </row>
    <row r="41" s="5" customFormat="1" spans="1:2">
      <c r="A41" s="25" t="s">
        <v>598</v>
      </c>
      <c r="B41" s="5" t="s">
        <v>604</v>
      </c>
    </row>
    <row r="42" s="5" customFormat="1" spans="1:2">
      <c r="A42" s="8" t="s">
        <v>602</v>
      </c>
      <c r="B42" s="5" t="s">
        <v>605</v>
      </c>
    </row>
    <row r="43" s="5" customFormat="1"/>
    <row r="44" s="5" customFormat="1" spans="1:2">
      <c r="A44" s="25" t="s">
        <v>594</v>
      </c>
      <c r="B44" s="5" t="s">
        <v>606</v>
      </c>
    </row>
    <row r="45" s="5" customFormat="1" spans="1:2">
      <c r="A45" s="25" t="s">
        <v>596</v>
      </c>
      <c r="B45" s="5" t="s">
        <v>607</v>
      </c>
    </row>
    <row r="46" s="5" customFormat="1" spans="1:2">
      <c r="A46" s="8" t="s">
        <v>598</v>
      </c>
      <c r="B46" s="5" t="s">
        <v>608</v>
      </c>
    </row>
    <row r="48" spans="1:2">
      <c r="A48" s="25" t="s">
        <v>594</v>
      </c>
      <c r="B48" s="5" t="s">
        <v>609</v>
      </c>
    </row>
    <row r="49" spans="1:7">
      <c r="A49" s="25"/>
      <c r="B49" s="5"/>
    </row>
    <row r="50" spans="1:7">
      <c r="A50" s="25" t="s">
        <v>594</v>
      </c>
      <c r="B50" s="5" t="s">
        <v>610</v>
      </c>
      <c r="E50" s="5"/>
      <c r="F50" s="5"/>
      <c r="G50" s="5"/>
    </row>
    <row r="51" spans="1:7">
      <c r="A51" s="25"/>
      <c r="B51" s="5"/>
      <c r="E51" s="5"/>
      <c r="F51" s="5"/>
      <c r="G51" s="5"/>
    </row>
    <row r="52" spans="1:7">
      <c r="A52" s="25" t="s">
        <v>594</v>
      </c>
      <c r="B52" s="5" t="s">
        <v>611</v>
      </c>
      <c r="G52" s="5"/>
    </row>
    <row r="53" spans="1:7">
      <c r="A53" s="25" t="s">
        <v>596</v>
      </c>
      <c r="B53" s="5" t="s">
        <v>612</v>
      </c>
      <c r="G53" s="5"/>
    </row>
    <row r="54" spans="1:7">
      <c r="A54" s="8" t="s">
        <v>598</v>
      </c>
      <c r="B54" s="5" t="s">
        <v>613</v>
      </c>
      <c r="G54" s="5"/>
    </row>
    <row r="56" spans="1:7">
      <c r="A56" s="25" t="s">
        <v>594</v>
      </c>
      <c r="B56" s="5" t="s">
        <v>614</v>
      </c>
    </row>
    <row r="57" spans="1:7">
      <c r="A57" s="25" t="s">
        <v>596</v>
      </c>
      <c r="B57" s="5" t="s">
        <v>615</v>
      </c>
      <c r="E57" s="5"/>
      <c r="F57" s="5"/>
    </row>
    <row r="58" spans="1:7">
      <c r="A58" s="8" t="s">
        <v>598</v>
      </c>
      <c r="B58" s="5" t="s">
        <v>616</v>
      </c>
      <c r="C58" s="5"/>
    </row>
    <row r="60" spans="1:7">
      <c r="A60" s="25" t="s">
        <v>594</v>
      </c>
      <c r="B60" s="5" t="s">
        <v>617</v>
      </c>
    </row>
    <row r="61" spans="1:7">
      <c r="A61" s="25" t="s">
        <v>596</v>
      </c>
      <c r="B61" s="5" t="s">
        <v>618</v>
      </c>
    </row>
    <row r="62" spans="1:7">
      <c r="A62" s="8" t="s">
        <v>598</v>
      </c>
      <c r="B62" s="5" t="s">
        <v>619</v>
      </c>
    </row>
    <row r="64" spans="1:7">
      <c r="A64" s="25" t="s">
        <v>594</v>
      </c>
      <c r="B64" s="5" t="s">
        <v>620</v>
      </c>
    </row>
    <row r="65" spans="1:6">
      <c r="A65" s="25" t="s">
        <v>596</v>
      </c>
      <c r="B65" s="5" t="s">
        <v>621</v>
      </c>
    </row>
    <row r="66" spans="1:6">
      <c r="A66" s="25" t="s">
        <v>602</v>
      </c>
      <c r="B66" s="5" t="s">
        <v>622</v>
      </c>
      <c r="C66" s="5"/>
    </row>
    <row r="67" spans="1:6">
      <c r="A67" s="25" t="s">
        <v>602</v>
      </c>
      <c r="B67" s="5" t="s">
        <v>623</v>
      </c>
      <c r="C67" s="5"/>
    </row>
    <row r="68" spans="1:6">
      <c r="A68" s="25" t="s">
        <v>602</v>
      </c>
      <c r="B68" s="5" t="s">
        <v>624</v>
      </c>
      <c r="C68" s="5"/>
    </row>
    <row r="69" spans="1:6">
      <c r="A69" s="25" t="s">
        <v>602</v>
      </c>
      <c r="B69" t="s">
        <v>625</v>
      </c>
    </row>
    <row r="70" spans="1:6">
      <c r="A70" s="25" t="s">
        <v>602</v>
      </c>
      <c r="B70" t="s">
        <v>626</v>
      </c>
    </row>
    <row r="71" spans="1:6">
      <c r="E71" s="5"/>
      <c r="F71" s="5"/>
    </row>
    <row r="72" spans="1:6">
      <c r="A72" s="25" t="s">
        <v>594</v>
      </c>
      <c r="B72" s="5" t="s">
        <v>627</v>
      </c>
    </row>
    <row r="73" spans="1:6">
      <c r="A73" s="25" t="s">
        <v>596</v>
      </c>
      <c r="B73" s="5" t="s">
        <v>628</v>
      </c>
    </row>
    <row r="74" spans="1:6">
      <c r="A74" s="8" t="s">
        <v>598</v>
      </c>
      <c r="B74" s="5" t="s">
        <v>629</v>
      </c>
      <c r="C74" s="5"/>
    </row>
    <row r="76" spans="1:6">
      <c r="A76" s="25" t="s">
        <v>594</v>
      </c>
      <c r="B76" t="s">
        <v>630</v>
      </c>
    </row>
    <row r="77" spans="1:6">
      <c r="A77" s="25" t="s">
        <v>596</v>
      </c>
      <c r="B77" t="s">
        <v>631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7"/>
  <sheetViews>
    <sheetView workbookViewId="0">
      <selection activeCell="E18" sqref="E18"/>
    </sheetView>
  </sheetViews>
  <sheetFormatPr defaultColWidth="8.66666666666667" defaultRowHeight="17.4"/>
  <cols>
    <col min="1" max="1" width="6.91666666666667" customWidth="1"/>
    <col min="2" max="2" width="9.5" customWidth="1"/>
    <col min="3" max="3" width="35.25" customWidth="1"/>
    <col min="4" max="4" width="14.5833333333333" customWidth="1"/>
    <col min="5" max="5" width="22.8333333333333" customWidth="1"/>
    <col min="6" max="6" width="8.75" customWidth="1"/>
    <col min="7" max="7" width="19.1666666666667" customWidth="1"/>
    <col min="8" max="8" width="12.25" customWidth="1"/>
    <col min="9" max="9" width="16.75" customWidth="1"/>
    <col min="10" max="10" width="36.75" customWidth="1"/>
    <col min="11" max="11" width="25.1666666666667" customWidth="1"/>
    <col min="12" max="12" width="8.83333333333333" customWidth="1"/>
    <col min="13" max="13" width="23" customWidth="1"/>
    <col min="14" max="14" width="28.4166666666667" customWidth="1"/>
  </cols>
  <sheetData>
    <row r="1" spans="1:12">
      <c r="A1" s="3" t="s">
        <v>0</v>
      </c>
      <c r="B1" t="s">
        <v>1</v>
      </c>
      <c r="C1" t="s">
        <v>2</v>
      </c>
      <c r="D1" t="s">
        <v>632</v>
      </c>
      <c r="E1" t="s">
        <v>633</v>
      </c>
      <c r="F1" t="s">
        <v>634</v>
      </c>
      <c r="G1" t="s">
        <v>635</v>
      </c>
      <c r="H1" t="s">
        <v>636</v>
      </c>
      <c r="I1" t="s">
        <v>637</v>
      </c>
      <c r="J1" t="s">
        <v>638</v>
      </c>
      <c r="K1" t="s">
        <v>639</v>
      </c>
      <c r="L1" t="s">
        <v>640</v>
      </c>
    </row>
    <row r="2" spans="1:12">
      <c r="A2" s="4" t="s">
        <v>29</v>
      </c>
      <c r="B2" t="s">
        <v>30</v>
      </c>
      <c r="C2" t="s">
        <v>31</v>
      </c>
      <c r="D2" t="s">
        <v>641</v>
      </c>
      <c r="E2" t="s">
        <v>642</v>
      </c>
      <c r="F2" t="s">
        <v>30</v>
      </c>
      <c r="G2" t="s">
        <v>643</v>
      </c>
      <c r="H2" t="s">
        <v>30</v>
      </c>
      <c r="I2" t="s">
        <v>644</v>
      </c>
      <c r="J2" t="s">
        <v>31</v>
      </c>
      <c r="K2" t="s">
        <v>35</v>
      </c>
      <c r="L2" t="s">
        <v>35</v>
      </c>
    </row>
    <row r="3" s="2" customFormat="1" ht="109" customHeight="1" spans="1:12">
      <c r="A3" s="2" t="s">
        <v>39</v>
      </c>
      <c r="B3" s="2" t="s">
        <v>645</v>
      </c>
      <c r="C3" s="2" t="s">
        <v>646</v>
      </c>
      <c r="D3" s="2" t="s">
        <v>647</v>
      </c>
      <c r="E3" s="2" t="s">
        <v>648</v>
      </c>
      <c r="F3" s="2" t="s">
        <v>649</v>
      </c>
      <c r="G3" s="2" t="s">
        <v>161</v>
      </c>
      <c r="H3" s="2" t="s">
        <v>650</v>
      </c>
      <c r="I3" s="2" t="s">
        <v>651</v>
      </c>
      <c r="J3" s="2" t="s">
        <v>75</v>
      </c>
      <c r="K3" s="2" t="s">
        <v>652</v>
      </c>
      <c r="L3" s="2" t="s">
        <v>653</v>
      </c>
    </row>
    <row r="4" s="5" customFormat="1" spans="1:12">
      <c r="A4" s="3" t="s">
        <v>39</v>
      </c>
      <c r="B4" s="5" t="s">
        <v>654</v>
      </c>
      <c r="C4" s="5" t="s">
        <v>655</v>
      </c>
      <c r="D4" s="5" t="s">
        <v>656</v>
      </c>
      <c r="E4" s="5" t="s">
        <v>657</v>
      </c>
      <c r="F4" s="5" t="s">
        <v>658</v>
      </c>
      <c r="G4" s="5" t="s">
        <v>659</v>
      </c>
      <c r="H4" s="5" t="s">
        <v>660</v>
      </c>
      <c r="I4" s="5" t="s">
        <v>661</v>
      </c>
      <c r="J4" s="5" t="s">
        <v>75</v>
      </c>
      <c r="K4" s="5" t="s">
        <v>662</v>
      </c>
      <c r="L4" s="5" t="s">
        <v>663</v>
      </c>
    </row>
    <row r="5" spans="1:12">
      <c r="B5">
        <v>1001</v>
      </c>
      <c r="C5" t="s">
        <v>664</v>
      </c>
      <c r="D5" s="16" t="s">
        <v>665</v>
      </c>
      <c r="E5" s="16" t="s">
        <v>666</v>
      </c>
      <c r="F5">
        <v>1000</v>
      </c>
      <c r="G5" t="s">
        <v>667</v>
      </c>
      <c r="H5">
        <v>3</v>
      </c>
      <c r="I5">
        <v>3</v>
      </c>
      <c r="J5" t="s">
        <v>668</v>
      </c>
      <c r="K5" t="b">
        <v>1</v>
      </c>
      <c r="L5" t="b">
        <v>1</v>
      </c>
    </row>
    <row r="6" spans="1:12">
      <c r="B6">
        <v>1002</v>
      </c>
      <c r="C6" t="s">
        <v>669</v>
      </c>
      <c r="D6" s="16" t="s">
        <v>670</v>
      </c>
      <c r="E6" s="16" t="s">
        <v>666</v>
      </c>
      <c r="F6">
        <v>1000</v>
      </c>
      <c r="G6" t="s">
        <v>667</v>
      </c>
      <c r="H6">
        <v>3</v>
      </c>
      <c r="I6">
        <v>3</v>
      </c>
      <c r="J6" t="s">
        <v>668</v>
      </c>
      <c r="K6" t="b">
        <v>1</v>
      </c>
      <c r="L6" t="b">
        <v>1</v>
      </c>
    </row>
    <row r="7" spans="1:12">
      <c r="B7">
        <v>2001</v>
      </c>
      <c r="C7" t="s">
        <v>671</v>
      </c>
      <c r="D7" s="16" t="s">
        <v>671</v>
      </c>
      <c r="E7" s="16" t="s">
        <v>666</v>
      </c>
      <c r="F7">
        <v>1000</v>
      </c>
      <c r="G7" t="s">
        <v>667</v>
      </c>
      <c r="H7">
        <v>3</v>
      </c>
      <c r="I7">
        <v>3</v>
      </c>
      <c r="J7" t="s">
        <v>668</v>
      </c>
      <c r="K7" t="b">
        <v>0</v>
      </c>
      <c r="L7" t="b">
        <v>1</v>
      </c>
    </row>
    <row r="8" spans="1:12">
      <c r="B8">
        <v>3001</v>
      </c>
      <c r="C8" t="s">
        <v>672</v>
      </c>
      <c r="D8" t="s">
        <v>673</v>
      </c>
      <c r="E8" s="16" t="s">
        <v>674</v>
      </c>
      <c r="F8">
        <v>0</v>
      </c>
      <c r="G8" t="s">
        <v>675</v>
      </c>
      <c r="H8">
        <v>0</v>
      </c>
      <c r="I8">
        <v>3</v>
      </c>
      <c r="J8" t="s">
        <v>668</v>
      </c>
      <c r="K8" t="b">
        <v>1</v>
      </c>
      <c r="L8" t="b">
        <v>1</v>
      </c>
    </row>
    <row r="9" spans="1:12">
      <c r="B9">
        <v>4001</v>
      </c>
      <c r="C9" t="s">
        <v>676</v>
      </c>
      <c r="D9" s="16" t="s">
        <v>665</v>
      </c>
      <c r="E9" s="16" t="s">
        <v>666</v>
      </c>
      <c r="F9">
        <v>0</v>
      </c>
      <c r="G9" t="s">
        <v>675</v>
      </c>
      <c r="H9">
        <v>3</v>
      </c>
      <c r="I9">
        <v>3</v>
      </c>
      <c r="J9" t="s">
        <v>677</v>
      </c>
      <c r="K9" t="b">
        <v>1</v>
      </c>
      <c r="L9" s="9" t="b">
        <v>0</v>
      </c>
    </row>
    <row r="15" spans="1:12">
      <c r="E15" s="16"/>
    </row>
    <row r="16" spans="1:12">
      <c r="E16" s="16"/>
    </row>
    <row r="17" spans="5:5">
      <c r="E17" s="1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abSelected="1" workbookViewId="0">
      <selection activeCell="L25" sqref="L25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10.8333333333333" customWidth="1"/>
    <col min="4" max="4" width="16.9166666666667" customWidth="1"/>
    <col min="5" max="5" width="10.8333333333333" customWidth="1"/>
    <col min="6" max="6" width="13.4166666666667" customWidth="1"/>
    <col min="7" max="7" width="14" customWidth="1"/>
    <col min="8" max="10" width="7.83333333333333" customWidth="1"/>
    <col min="11" max="11" width="14.25" customWidth="1"/>
    <col min="12" max="12" width="13.1666666666667" customWidth="1"/>
    <col min="13" max="13" width="12" customWidth="1"/>
    <col min="14" max="14" width="21" customWidth="1"/>
    <col min="15" max="15" width="18.6666666666667" customWidth="1"/>
    <col min="16" max="16" width="13.5" customWidth="1"/>
    <col min="17" max="17" width="8.75" customWidth="1"/>
    <col min="18" max="18" width="20" customWidth="1"/>
    <col min="19" max="19" width="31.1666666666667" customWidth="1"/>
  </cols>
  <sheetData>
    <row r="1" spans="1:19">
      <c r="A1" s="3" t="s">
        <v>0</v>
      </c>
      <c r="B1" t="s">
        <v>1</v>
      </c>
      <c r="C1" t="s">
        <v>678</v>
      </c>
      <c r="D1" t="s">
        <v>679</v>
      </c>
      <c r="E1" t="s">
        <v>680</v>
      </c>
      <c r="F1" t="s">
        <v>681</v>
      </c>
      <c r="G1" t="s">
        <v>682</v>
      </c>
      <c r="K1" t="s">
        <v>683</v>
      </c>
      <c r="L1" t="s">
        <v>640</v>
      </c>
      <c r="M1" t="s">
        <v>684</v>
      </c>
      <c r="N1" t="s">
        <v>685</v>
      </c>
      <c r="O1" t="s">
        <v>686</v>
      </c>
      <c r="P1" t="s">
        <v>687</v>
      </c>
      <c r="Q1" t="s">
        <v>161</v>
      </c>
      <c r="R1" t="s">
        <v>688</v>
      </c>
      <c r="S1" t="s">
        <v>689</v>
      </c>
    </row>
    <row r="2" spans="1:19">
      <c r="A2" s="3" t="s">
        <v>29</v>
      </c>
      <c r="B2" t="s">
        <v>30</v>
      </c>
      <c r="C2" t="s">
        <v>30</v>
      </c>
      <c r="D2" t="s">
        <v>30</v>
      </c>
      <c r="E2" t="s">
        <v>35</v>
      </c>
      <c r="F2" t="s">
        <v>30</v>
      </c>
      <c r="G2" t="s">
        <v>30</v>
      </c>
      <c r="K2" t="s">
        <v>30</v>
      </c>
      <c r="L2" t="s">
        <v>35</v>
      </c>
      <c r="M2" t="s">
        <v>30</v>
      </c>
      <c r="N2" t="s">
        <v>30</v>
      </c>
      <c r="O2" t="s">
        <v>30</v>
      </c>
      <c r="P2" t="s">
        <v>30</v>
      </c>
      <c r="Q2" t="s">
        <v>161</v>
      </c>
      <c r="R2" t="s">
        <v>30</v>
      </c>
      <c r="S2" t="s">
        <v>30</v>
      </c>
    </row>
    <row r="3" s="2" customFormat="1" ht="128" customHeight="1" spans="1:19">
      <c r="A3" s="4" t="s">
        <v>39</v>
      </c>
      <c r="B3" s="2" t="s">
        <v>161</v>
      </c>
      <c r="C3" s="2" t="s">
        <v>690</v>
      </c>
      <c r="D3" s="2" t="s">
        <v>679</v>
      </c>
      <c r="E3" s="2" t="s">
        <v>691</v>
      </c>
      <c r="F3" s="2" t="s">
        <v>692</v>
      </c>
      <c r="G3" s="2" t="s">
        <v>693</v>
      </c>
      <c r="H3" s="2" t="s">
        <v>694</v>
      </c>
      <c r="I3" s="2" t="s">
        <v>694</v>
      </c>
      <c r="J3" s="2" t="s">
        <v>695</v>
      </c>
      <c r="K3" s="2" t="s">
        <v>696</v>
      </c>
      <c r="L3" s="2" t="s">
        <v>663</v>
      </c>
      <c r="M3" s="2" t="s">
        <v>697</v>
      </c>
      <c r="N3" s="2" t="s">
        <v>698</v>
      </c>
      <c r="O3" s="2" t="s">
        <v>699</v>
      </c>
      <c r="P3" s="2" t="s">
        <v>700</v>
      </c>
      <c r="Q3" s="2"/>
      <c r="R3" s="2" t="s">
        <v>701</v>
      </c>
      <c r="S3" s="2" t="s">
        <v>702</v>
      </c>
    </row>
    <row r="4" spans="1:19">
      <c r="A4" s="4" t="s">
        <v>39</v>
      </c>
      <c r="B4" t="s">
        <v>59</v>
      </c>
      <c r="C4" t="s">
        <v>654</v>
      </c>
      <c r="D4" t="s">
        <v>703</v>
      </c>
      <c r="E4" t="s">
        <v>704</v>
      </c>
      <c r="F4" t="s">
        <v>705</v>
      </c>
      <c r="G4" t="s">
        <v>706</v>
      </c>
      <c r="H4" t="s">
        <v>707</v>
      </c>
      <c r="I4" t="s">
        <v>708</v>
      </c>
      <c r="J4" s="20">
        <v>5</v>
      </c>
      <c r="K4" t="s">
        <v>709</v>
      </c>
      <c r="L4" t="s">
        <v>663</v>
      </c>
      <c r="M4" t="s">
        <v>710</v>
      </c>
      <c r="N4" t="s">
        <v>711</v>
      </c>
      <c r="O4" t="s">
        <v>712</v>
      </c>
      <c r="P4" t="s">
        <v>713</v>
      </c>
      <c r="R4" t="s">
        <v>714</v>
      </c>
      <c r="S4" t="s">
        <v>715</v>
      </c>
    </row>
    <row r="5" spans="1:19">
      <c r="B5">
        <v>1001</v>
      </c>
      <c r="C5">
        <v>1001</v>
      </c>
      <c r="D5">
        <v>2001</v>
      </c>
      <c r="E5" t="b">
        <v>0</v>
      </c>
      <c r="F5">
        <f>SUM($G$5:G5)</f>
        <v>240</v>
      </c>
      <c r="G5">
        <f>J5*$J$4</f>
        <v>240</v>
      </c>
      <c r="H5">
        <f>G5/60</f>
        <v>4</v>
      </c>
      <c r="I5">
        <f>SUM($H$5:H5)</f>
        <v>4</v>
      </c>
      <c r="J5">
        <v>48</v>
      </c>
      <c r="K5">
        <v>1</v>
      </c>
      <c r="L5" t="b">
        <v>1</v>
      </c>
      <c r="M5">
        <v>700101</v>
      </c>
      <c r="N5">
        <v>120</v>
      </c>
      <c r="O5">
        <v>0</v>
      </c>
      <c r="P5">
        <v>0</v>
      </c>
      <c r="R5">
        <v>-1000</v>
      </c>
      <c r="S5">
        <v>0</v>
      </c>
    </row>
    <row r="6" spans="1:19">
      <c r="B6">
        <v>1002</v>
      </c>
      <c r="C6">
        <v>1002</v>
      </c>
      <c r="D6">
        <v>2001</v>
      </c>
      <c r="E6" t="b">
        <v>0</v>
      </c>
      <c r="F6">
        <f>SUM($G$5:G6)</f>
        <v>480</v>
      </c>
      <c r="G6">
        <f t="shared" ref="G6:G16" si="0">J6*$J$4</f>
        <v>240</v>
      </c>
      <c r="H6">
        <f t="shared" ref="H6:H16" si="1">G6/60</f>
        <v>4</v>
      </c>
      <c r="I6">
        <f>SUM($H$5:H6)</f>
        <v>8</v>
      </c>
      <c r="J6">
        <v>48</v>
      </c>
      <c r="K6">
        <v>1</v>
      </c>
      <c r="L6" t="b">
        <v>1</v>
      </c>
      <c r="M6">
        <v>700102</v>
      </c>
      <c r="N6">
        <v>120</v>
      </c>
      <c r="O6">
        <v>0</v>
      </c>
      <c r="P6">
        <v>0</v>
      </c>
      <c r="R6">
        <v>0</v>
      </c>
      <c r="S6">
        <v>0</v>
      </c>
    </row>
    <row r="7" spans="1:19">
      <c r="B7">
        <v>1003</v>
      </c>
      <c r="C7">
        <v>2001</v>
      </c>
      <c r="E7" t="b">
        <v>0</v>
      </c>
      <c r="F7">
        <f>SUM($G$5:G7)</f>
        <v>720</v>
      </c>
      <c r="G7">
        <f t="shared" si="0"/>
        <v>240</v>
      </c>
      <c r="H7">
        <f t="shared" si="1"/>
        <v>4</v>
      </c>
      <c r="I7">
        <f>SUM($H$5:H7)</f>
        <v>12</v>
      </c>
      <c r="J7">
        <v>48</v>
      </c>
      <c r="K7">
        <v>1</v>
      </c>
      <c r="L7" t="b">
        <v>1</v>
      </c>
      <c r="M7">
        <v>0</v>
      </c>
      <c r="N7">
        <v>0</v>
      </c>
      <c r="O7">
        <v>0</v>
      </c>
      <c r="P7">
        <v>0</v>
      </c>
      <c r="R7">
        <v>0</v>
      </c>
      <c r="S7">
        <v>0</v>
      </c>
    </row>
    <row r="8" spans="1:19">
      <c r="B8">
        <v>1004</v>
      </c>
      <c r="C8">
        <v>1001</v>
      </c>
      <c r="D8">
        <v>2001</v>
      </c>
      <c r="E8" t="b">
        <v>0</v>
      </c>
      <c r="F8">
        <f>SUM($G$5:G8)</f>
        <v>960</v>
      </c>
      <c r="G8">
        <f t="shared" si="0"/>
        <v>240</v>
      </c>
      <c r="H8">
        <f t="shared" si="1"/>
        <v>4</v>
      </c>
      <c r="I8">
        <f>SUM($H$5:H8)</f>
        <v>16</v>
      </c>
      <c r="J8">
        <v>48</v>
      </c>
      <c r="K8">
        <v>1</v>
      </c>
      <c r="L8" t="b">
        <v>1</v>
      </c>
      <c r="M8">
        <v>700104</v>
      </c>
      <c r="N8">
        <v>120</v>
      </c>
      <c r="O8">
        <v>0</v>
      </c>
      <c r="P8">
        <v>0</v>
      </c>
      <c r="R8">
        <v>0</v>
      </c>
      <c r="S8">
        <v>0</v>
      </c>
    </row>
    <row r="9" spans="1:19">
      <c r="B9">
        <v>1005</v>
      </c>
      <c r="C9">
        <v>1002</v>
      </c>
      <c r="D9">
        <v>2001</v>
      </c>
      <c r="E9" t="b">
        <v>0</v>
      </c>
      <c r="F9">
        <f>SUM($G$5:G9)</f>
        <v>1260</v>
      </c>
      <c r="G9">
        <f t="shared" si="0"/>
        <v>300</v>
      </c>
      <c r="H9">
        <f t="shared" si="1"/>
        <v>5</v>
      </c>
      <c r="I9">
        <f>SUM($H$5:H9)</f>
        <v>21</v>
      </c>
      <c r="J9">
        <v>60</v>
      </c>
      <c r="K9">
        <v>1</v>
      </c>
      <c r="L9" t="b">
        <v>1</v>
      </c>
      <c r="M9">
        <v>700105</v>
      </c>
      <c r="N9">
        <v>120</v>
      </c>
      <c r="O9">
        <v>0</v>
      </c>
      <c r="P9">
        <v>0</v>
      </c>
      <c r="R9">
        <v>0</v>
      </c>
      <c r="S9">
        <v>500005</v>
      </c>
    </row>
    <row r="10" spans="1:19">
      <c r="B10">
        <v>1006</v>
      </c>
      <c r="C10">
        <v>2001</v>
      </c>
      <c r="E10" t="b">
        <v>0</v>
      </c>
      <c r="F10">
        <f>SUM($G$5:G10)</f>
        <v>1560</v>
      </c>
      <c r="G10">
        <f t="shared" si="0"/>
        <v>300</v>
      </c>
      <c r="H10">
        <f t="shared" si="1"/>
        <v>5</v>
      </c>
      <c r="I10">
        <f>SUM($H$5:H10)</f>
        <v>26</v>
      </c>
      <c r="J10">
        <v>60</v>
      </c>
      <c r="K10">
        <v>1</v>
      </c>
      <c r="L10" t="b">
        <v>1</v>
      </c>
      <c r="M10">
        <v>0</v>
      </c>
      <c r="N10">
        <v>0</v>
      </c>
      <c r="O10">
        <v>0</v>
      </c>
      <c r="P10">
        <v>0</v>
      </c>
      <c r="R10">
        <v>0</v>
      </c>
      <c r="S10">
        <v>0</v>
      </c>
    </row>
    <row r="11" spans="1:19">
      <c r="B11">
        <v>1007</v>
      </c>
      <c r="C11">
        <v>1001</v>
      </c>
      <c r="D11">
        <v>2001</v>
      </c>
      <c r="E11" t="b">
        <v>0</v>
      </c>
      <c r="F11">
        <f>SUM($G$5:G11)</f>
        <v>1920</v>
      </c>
      <c r="G11">
        <f t="shared" si="0"/>
        <v>360</v>
      </c>
      <c r="H11">
        <f t="shared" si="1"/>
        <v>6</v>
      </c>
      <c r="I11">
        <f>SUM($H$5:H11)</f>
        <v>32</v>
      </c>
      <c r="J11">
        <v>72</v>
      </c>
      <c r="K11">
        <v>1</v>
      </c>
      <c r="L11" t="b">
        <v>1</v>
      </c>
      <c r="M11">
        <v>700107</v>
      </c>
      <c r="N11">
        <v>120</v>
      </c>
      <c r="O11">
        <v>0</v>
      </c>
      <c r="P11">
        <v>0</v>
      </c>
      <c r="R11">
        <v>0</v>
      </c>
      <c r="S11">
        <v>0</v>
      </c>
    </row>
    <row r="12" spans="1:19">
      <c r="B12">
        <v>1008</v>
      </c>
      <c r="C12">
        <v>1002</v>
      </c>
      <c r="D12">
        <v>2001</v>
      </c>
      <c r="E12" t="b">
        <v>0</v>
      </c>
      <c r="F12">
        <f>SUM($G$5:G12)</f>
        <v>2280</v>
      </c>
      <c r="G12">
        <f t="shared" si="0"/>
        <v>360</v>
      </c>
      <c r="H12">
        <f t="shared" si="1"/>
        <v>6</v>
      </c>
      <c r="I12">
        <f>SUM($H$5:H12)</f>
        <v>38</v>
      </c>
      <c r="J12">
        <v>72</v>
      </c>
      <c r="K12">
        <v>1</v>
      </c>
      <c r="L12" t="b">
        <v>1</v>
      </c>
      <c r="M12">
        <v>700108</v>
      </c>
      <c r="N12">
        <v>120</v>
      </c>
      <c r="O12">
        <v>0</v>
      </c>
      <c r="P12">
        <v>0</v>
      </c>
      <c r="R12">
        <v>0</v>
      </c>
      <c r="S12">
        <v>0</v>
      </c>
    </row>
    <row r="13" spans="1:19">
      <c r="B13">
        <v>1009</v>
      </c>
      <c r="C13">
        <v>2001</v>
      </c>
      <c r="E13" t="b">
        <v>0</v>
      </c>
      <c r="F13">
        <f>SUM($G$5:G13)</f>
        <v>2730</v>
      </c>
      <c r="G13">
        <f t="shared" si="0"/>
        <v>450</v>
      </c>
      <c r="H13">
        <f t="shared" si="1"/>
        <v>7.5</v>
      </c>
      <c r="I13">
        <f>SUM($H$5:H13)</f>
        <v>45.5</v>
      </c>
      <c r="J13">
        <v>90</v>
      </c>
      <c r="K13">
        <v>1</v>
      </c>
      <c r="L13" t="b">
        <v>1</v>
      </c>
      <c r="M13">
        <v>0</v>
      </c>
      <c r="N13">
        <v>0</v>
      </c>
      <c r="O13">
        <v>0</v>
      </c>
      <c r="P13">
        <v>0</v>
      </c>
      <c r="R13">
        <v>0</v>
      </c>
      <c r="S13">
        <v>0</v>
      </c>
    </row>
    <row r="14" spans="1:19">
      <c r="B14">
        <v>1010</v>
      </c>
      <c r="C14">
        <v>1001</v>
      </c>
      <c r="D14">
        <v>2001</v>
      </c>
      <c r="E14" t="b">
        <v>0</v>
      </c>
      <c r="F14">
        <f>SUM($G$5:G14)</f>
        <v>3180</v>
      </c>
      <c r="G14">
        <f t="shared" si="0"/>
        <v>450</v>
      </c>
      <c r="H14">
        <f t="shared" si="1"/>
        <v>7.5</v>
      </c>
      <c r="I14">
        <f>SUM($H$5:H14)</f>
        <v>53</v>
      </c>
      <c r="J14">
        <v>90</v>
      </c>
      <c r="K14">
        <v>1</v>
      </c>
      <c r="L14" t="b">
        <v>1</v>
      </c>
      <c r="M14">
        <v>700110</v>
      </c>
      <c r="N14">
        <v>120</v>
      </c>
      <c r="O14">
        <v>0</v>
      </c>
      <c r="P14">
        <v>0</v>
      </c>
      <c r="R14">
        <v>0</v>
      </c>
      <c r="S14">
        <v>0</v>
      </c>
    </row>
    <row r="15" spans="1:19">
      <c r="B15">
        <v>1011</v>
      </c>
      <c r="C15">
        <v>1002</v>
      </c>
      <c r="D15">
        <v>2001</v>
      </c>
      <c r="E15" t="b">
        <v>0</v>
      </c>
      <c r="F15">
        <f>SUM($G$5:G15)</f>
        <v>3630</v>
      </c>
      <c r="G15">
        <f t="shared" si="0"/>
        <v>450</v>
      </c>
      <c r="H15">
        <f t="shared" si="1"/>
        <v>7.5</v>
      </c>
      <c r="I15">
        <f>SUM($H$5:H15)</f>
        <v>60.5</v>
      </c>
      <c r="J15">
        <v>90</v>
      </c>
      <c r="K15">
        <v>1</v>
      </c>
      <c r="L15" t="b">
        <v>1</v>
      </c>
      <c r="M15">
        <v>700111</v>
      </c>
      <c r="N15">
        <v>120</v>
      </c>
      <c r="O15">
        <v>0</v>
      </c>
      <c r="P15">
        <v>0</v>
      </c>
      <c r="R15">
        <v>0</v>
      </c>
      <c r="S15">
        <v>0</v>
      </c>
    </row>
    <row r="16" spans="1:19">
      <c r="B16">
        <v>1012</v>
      </c>
      <c r="C16">
        <v>2001</v>
      </c>
      <c r="E16" t="b">
        <v>0</v>
      </c>
      <c r="F16">
        <f>SUM($G$5:G16)</f>
        <v>4080</v>
      </c>
      <c r="G16">
        <f t="shared" si="0"/>
        <v>450</v>
      </c>
      <c r="H16">
        <f t="shared" si="1"/>
        <v>7.5</v>
      </c>
      <c r="I16">
        <f>SUM($H$5:H16)</f>
        <v>68</v>
      </c>
      <c r="J16">
        <v>90</v>
      </c>
      <c r="K16">
        <v>1</v>
      </c>
      <c r="L16" t="b">
        <v>1</v>
      </c>
      <c r="M16">
        <v>0</v>
      </c>
      <c r="N16">
        <v>0</v>
      </c>
      <c r="O16">
        <v>0</v>
      </c>
      <c r="P16">
        <v>0</v>
      </c>
      <c r="R16">
        <v>0</v>
      </c>
      <c r="S16">
        <v>500012</v>
      </c>
    </row>
    <row r="17" spans="1:19">
      <c r="A17" t="s">
        <v>39</v>
      </c>
      <c r="B17" t="s">
        <v>161</v>
      </c>
      <c r="C17" t="s">
        <v>161</v>
      </c>
      <c r="E17" t="s">
        <v>161</v>
      </c>
      <c r="F17" t="s">
        <v>161</v>
      </c>
      <c r="G17" t="s">
        <v>161</v>
      </c>
      <c r="K17" t="s">
        <v>161</v>
      </c>
      <c r="L17" t="s">
        <v>161</v>
      </c>
      <c r="M17" t="s">
        <v>161</v>
      </c>
      <c r="O17" t="s">
        <v>161</v>
      </c>
      <c r="P17" t="s">
        <v>161</v>
      </c>
      <c r="R17" t="s">
        <v>161</v>
      </c>
      <c r="S17" t="s">
        <v>161</v>
      </c>
    </row>
    <row r="18" spans="1:19">
      <c r="B18">
        <v>2001</v>
      </c>
      <c r="C18">
        <v>1001</v>
      </c>
      <c r="D18">
        <v>2001</v>
      </c>
      <c r="E18" t="b">
        <v>1</v>
      </c>
      <c r="G18">
        <f>90*$J$4</f>
        <v>450</v>
      </c>
      <c r="K18">
        <v>-1</v>
      </c>
      <c r="L18" t="b">
        <v>1</v>
      </c>
      <c r="M18">
        <v>701101</v>
      </c>
      <c r="N18">
        <f>180*$J$4</f>
        <v>900</v>
      </c>
      <c r="O18">
        <f>360*$J$4</f>
        <v>1800</v>
      </c>
      <c r="P18">
        <v>2</v>
      </c>
      <c r="R18">
        <v>0</v>
      </c>
      <c r="S18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4"/>
  <sheetViews>
    <sheetView topLeftCell="A3" workbookViewId="0">
      <selection activeCell="D36" sqref="D36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7" customWidth="1"/>
    <col min="8" max="8" width="18" customWidth="1"/>
  </cols>
  <sheetData>
    <row r="1" spans="1:8">
      <c r="A1" t="s">
        <v>0</v>
      </c>
      <c r="B1" t="s">
        <v>1</v>
      </c>
      <c r="C1" t="s">
        <v>678</v>
      </c>
      <c r="D1" t="s">
        <v>716</v>
      </c>
      <c r="E1" t="s">
        <v>717</v>
      </c>
      <c r="G1" t="s">
        <v>640</v>
      </c>
    </row>
    <row r="2" spans="1:8">
      <c r="A2" t="s">
        <v>29</v>
      </c>
      <c r="B2" t="s">
        <v>30</v>
      </c>
      <c r="C2" t="s">
        <v>30</v>
      </c>
      <c r="D2" t="s">
        <v>34</v>
      </c>
      <c r="E2" t="s">
        <v>30</v>
      </c>
      <c r="G2" t="s">
        <v>35</v>
      </c>
    </row>
    <row r="3" s="2" customFormat="1" ht="66" customHeight="1" spans="1:8">
      <c r="A3" s="2" t="s">
        <v>39</v>
      </c>
      <c r="B3" s="2" t="s">
        <v>718</v>
      </c>
      <c r="C3" s="2" t="s">
        <v>690</v>
      </c>
      <c r="D3" s="2" t="s">
        <v>719</v>
      </c>
      <c r="E3" s="2" t="s">
        <v>720</v>
      </c>
      <c r="F3" s="18"/>
      <c r="G3" s="2" t="s">
        <v>663</v>
      </c>
    </row>
    <row r="4" spans="1:8">
      <c r="A4" t="s">
        <v>39</v>
      </c>
      <c r="B4" t="s">
        <v>59</v>
      </c>
      <c r="C4" t="s">
        <v>654</v>
      </c>
      <c r="D4" t="s">
        <v>64</v>
      </c>
      <c r="E4" t="s">
        <v>721</v>
      </c>
      <c r="G4" t="s">
        <v>663</v>
      </c>
      <c r="H4" t="s">
        <v>722</v>
      </c>
    </row>
    <row r="5" spans="1:8">
      <c r="B5">
        <v>100101</v>
      </c>
      <c r="C5">
        <v>1001</v>
      </c>
      <c r="D5" t="s">
        <v>92</v>
      </c>
      <c r="E5">
        <v>0</v>
      </c>
      <c r="F5" s="17">
        <f>E5/10000</f>
        <v>0</v>
      </c>
      <c r="G5" t="b">
        <v>1</v>
      </c>
    </row>
    <row r="6" spans="1:8">
      <c r="B6">
        <v>100102</v>
      </c>
      <c r="C6">
        <v>1001</v>
      </c>
      <c r="D6" t="s">
        <v>140</v>
      </c>
      <c r="E6">
        <v>6700</v>
      </c>
      <c r="F6" s="1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121</v>
      </c>
      <c r="E7">
        <v>2200</v>
      </c>
      <c r="F7" s="1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105</v>
      </c>
      <c r="E8" s="19">
        <v>900</v>
      </c>
      <c r="F8" s="1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110</v>
      </c>
      <c r="E9" s="19">
        <v>180</v>
      </c>
      <c r="F9" s="1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99</v>
      </c>
      <c r="E10">
        <v>20</v>
      </c>
      <c r="F10" s="17">
        <f t="shared" si="0"/>
        <v>0.002</v>
      </c>
      <c r="G10" t="b">
        <v>1</v>
      </c>
    </row>
    <row r="11" spans="1:8">
      <c r="A11" t="s">
        <v>39</v>
      </c>
      <c r="F11" s="17">
        <f>SUM(F5:F10)</f>
        <v>1</v>
      </c>
    </row>
    <row r="12" spans="1:8">
      <c r="B12">
        <v>100201</v>
      </c>
      <c r="C12">
        <v>1002</v>
      </c>
      <c r="D12" t="s">
        <v>92</v>
      </c>
      <c r="E12">
        <v>0</v>
      </c>
      <c r="F12" s="1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140</v>
      </c>
      <c r="E13">
        <v>3700</v>
      </c>
      <c r="F13" s="17">
        <f t="shared" si="0"/>
        <v>0.37</v>
      </c>
      <c r="G13" t="b">
        <v>1</v>
      </c>
      <c r="H13" t="s">
        <v>723</v>
      </c>
    </row>
    <row r="14" spans="1:8">
      <c r="B14">
        <v>100203</v>
      </c>
      <c r="C14">
        <v>1002</v>
      </c>
      <c r="D14" t="s">
        <v>121</v>
      </c>
      <c r="E14">
        <v>4200</v>
      </c>
      <c r="F14" s="1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105</v>
      </c>
      <c r="E15">
        <v>1700</v>
      </c>
      <c r="F15" s="1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110</v>
      </c>
      <c r="E16">
        <v>380</v>
      </c>
      <c r="F16" s="1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99</v>
      </c>
      <c r="E17">
        <v>20</v>
      </c>
      <c r="F17" s="17">
        <f t="shared" si="0"/>
        <v>0.002</v>
      </c>
      <c r="G17" t="b">
        <v>1</v>
      </c>
    </row>
    <row r="18" spans="1:8">
      <c r="A18" t="s">
        <v>39</v>
      </c>
      <c r="F18" s="17">
        <f>SUM(F12:F17)</f>
        <v>1</v>
      </c>
    </row>
    <row r="19" spans="1:8">
      <c r="B19">
        <v>200101</v>
      </c>
      <c r="C19">
        <v>2001</v>
      </c>
      <c r="D19" t="s">
        <v>92</v>
      </c>
      <c r="E19">
        <v>0</v>
      </c>
      <c r="G19" t="b">
        <v>1</v>
      </c>
      <c r="H19" t="s">
        <v>569</v>
      </c>
    </row>
    <row r="20" spans="1:8">
      <c r="B20">
        <v>200102</v>
      </c>
      <c r="C20">
        <v>2001</v>
      </c>
      <c r="D20" t="s">
        <v>140</v>
      </c>
      <c r="E20">
        <v>3000</v>
      </c>
      <c r="G20" t="b">
        <v>1</v>
      </c>
      <c r="H20" t="s">
        <v>569</v>
      </c>
    </row>
    <row r="21" spans="1:8">
      <c r="B21">
        <v>200103</v>
      </c>
      <c r="C21">
        <v>2001</v>
      </c>
      <c r="D21" t="s">
        <v>121</v>
      </c>
      <c r="E21">
        <v>7000</v>
      </c>
      <c r="G21" t="b">
        <v>1</v>
      </c>
      <c r="H21" t="s">
        <v>569</v>
      </c>
    </row>
    <row r="22" spans="1:8">
      <c r="B22">
        <v>200104</v>
      </c>
      <c r="C22">
        <v>2001</v>
      </c>
      <c r="D22" t="s">
        <v>105</v>
      </c>
      <c r="E22">
        <v>0</v>
      </c>
      <c r="G22" t="b">
        <v>1</v>
      </c>
      <c r="H22" t="s">
        <v>569</v>
      </c>
    </row>
    <row r="23" spans="1:8">
      <c r="B23">
        <v>200105</v>
      </c>
      <c r="C23">
        <v>2001</v>
      </c>
      <c r="D23" t="s">
        <v>110</v>
      </c>
      <c r="E23">
        <v>0</v>
      </c>
      <c r="G23" t="b">
        <v>1</v>
      </c>
      <c r="H23" t="s">
        <v>569</v>
      </c>
    </row>
    <row r="24" spans="1:8">
      <c r="B24">
        <v>200106</v>
      </c>
      <c r="C24">
        <v>2001</v>
      </c>
      <c r="D24" t="s">
        <v>99</v>
      </c>
      <c r="E24">
        <v>0</v>
      </c>
      <c r="G24" t="b">
        <v>1</v>
      </c>
      <c r="H24" t="s">
        <v>569</v>
      </c>
    </row>
    <row r="25" spans="1:8">
      <c r="A25" t="s">
        <v>39</v>
      </c>
    </row>
    <row r="26" spans="1:8">
      <c r="B26">
        <v>300101</v>
      </c>
      <c r="C26">
        <v>3001</v>
      </c>
      <c r="D26" t="s">
        <v>507</v>
      </c>
      <c r="E26">
        <v>100</v>
      </c>
      <c r="G26" t="b">
        <v>0</v>
      </c>
      <c r="H26" t="s">
        <v>724</v>
      </c>
    </row>
    <row r="27" spans="1:8">
      <c r="A27" t="s">
        <v>39</v>
      </c>
    </row>
    <row r="28" spans="1:8">
      <c r="B28">
        <v>400101</v>
      </c>
      <c r="C28">
        <v>4001</v>
      </c>
      <c r="D28" t="s">
        <v>92</v>
      </c>
      <c r="E28">
        <v>0</v>
      </c>
      <c r="F28" s="17">
        <f t="shared" ref="F28:F33" si="1">E28/10000</f>
        <v>0</v>
      </c>
      <c r="G28" t="b">
        <v>1</v>
      </c>
      <c r="H28" t="s">
        <v>725</v>
      </c>
    </row>
    <row r="29" spans="1:8">
      <c r="B29">
        <v>400102</v>
      </c>
      <c r="C29">
        <v>4001</v>
      </c>
      <c r="D29" t="s">
        <v>140</v>
      </c>
      <c r="E29">
        <v>6700</v>
      </c>
      <c r="F29" s="17">
        <f t="shared" si="1"/>
        <v>0.67</v>
      </c>
      <c r="G29" t="b">
        <v>1</v>
      </c>
    </row>
    <row r="30" spans="1:8">
      <c r="B30">
        <v>400103</v>
      </c>
      <c r="C30">
        <v>4001</v>
      </c>
      <c r="D30" t="s">
        <v>121</v>
      </c>
      <c r="E30">
        <v>2200</v>
      </c>
      <c r="F30" s="17">
        <f t="shared" si="1"/>
        <v>0.22</v>
      </c>
      <c r="G30" t="b">
        <v>1</v>
      </c>
    </row>
    <row r="31" spans="1:8">
      <c r="B31">
        <v>400104</v>
      </c>
      <c r="C31">
        <v>4001</v>
      </c>
      <c r="D31" t="s">
        <v>105</v>
      </c>
      <c r="E31" s="19">
        <v>900</v>
      </c>
      <c r="F31" s="17">
        <f t="shared" si="1"/>
        <v>0.09</v>
      </c>
      <c r="G31" t="b">
        <v>1</v>
      </c>
    </row>
    <row r="32" spans="1:8">
      <c r="B32">
        <v>400105</v>
      </c>
      <c r="C32">
        <v>4001</v>
      </c>
      <c r="D32" t="s">
        <v>110</v>
      </c>
      <c r="E32" s="19">
        <v>180</v>
      </c>
      <c r="F32" s="17">
        <f t="shared" si="1"/>
        <v>0.018</v>
      </c>
      <c r="G32" t="b">
        <v>1</v>
      </c>
    </row>
    <row r="33" spans="2:7">
      <c r="B33">
        <v>400106</v>
      </c>
      <c r="C33">
        <v>4001</v>
      </c>
      <c r="D33" t="s">
        <v>99</v>
      </c>
      <c r="E33">
        <v>20</v>
      </c>
      <c r="F33" s="17">
        <f t="shared" si="1"/>
        <v>0.002</v>
      </c>
      <c r="G33" t="b">
        <v>1</v>
      </c>
    </row>
    <row r="34" spans="2:7">
      <c r="F34" s="17">
        <f>SUM(F28:F33)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726</v>
      </c>
      <c r="D1" t="s">
        <v>717</v>
      </c>
      <c r="E1" t="s">
        <v>727</v>
      </c>
      <c r="F1" t="s">
        <v>728</v>
      </c>
      <c r="G1" t="s">
        <v>729</v>
      </c>
      <c r="H1" t="s">
        <v>730</v>
      </c>
      <c r="I1" t="s">
        <v>640</v>
      </c>
      <c r="J1" t="s">
        <v>731</v>
      </c>
    </row>
    <row r="2" spans="1:11">
      <c r="A2" t="s">
        <v>29</v>
      </c>
      <c r="B2" t="s">
        <v>30</v>
      </c>
      <c r="C2" t="s">
        <v>34</v>
      </c>
      <c r="D2" t="s">
        <v>30</v>
      </c>
      <c r="E2" t="s">
        <v>34</v>
      </c>
      <c r="F2" t="s">
        <v>34</v>
      </c>
      <c r="G2" t="s">
        <v>34</v>
      </c>
      <c r="H2" t="s">
        <v>34</v>
      </c>
      <c r="I2" t="s">
        <v>35</v>
      </c>
      <c r="J2" t="s">
        <v>35</v>
      </c>
    </row>
    <row r="3" s="2" customFormat="1" ht="69" customHeight="1" spans="1:11">
      <c r="A3" s="2" t="s">
        <v>39</v>
      </c>
      <c r="B3" s="2" t="s">
        <v>161</v>
      </c>
      <c r="C3" s="2" t="s">
        <v>732</v>
      </c>
      <c r="D3" s="2" t="s">
        <v>733</v>
      </c>
      <c r="E3" s="2" t="s">
        <v>734</v>
      </c>
      <c r="F3" s="2" t="s">
        <v>735</v>
      </c>
      <c r="G3" s="2" t="s">
        <v>735</v>
      </c>
      <c r="H3" s="2" t="s">
        <v>736</v>
      </c>
      <c r="I3" s="2" t="s">
        <v>663</v>
      </c>
      <c r="J3" s="2" t="s">
        <v>737</v>
      </c>
    </row>
    <row r="4" spans="1:11">
      <c r="A4" t="s">
        <v>39</v>
      </c>
      <c r="B4" t="s">
        <v>59</v>
      </c>
      <c r="C4" t="s">
        <v>738</v>
      </c>
      <c r="D4" t="s">
        <v>739</v>
      </c>
      <c r="E4" t="s">
        <v>740</v>
      </c>
      <c r="F4" t="s">
        <v>741</v>
      </c>
      <c r="G4" t="s">
        <v>741</v>
      </c>
      <c r="H4" t="s">
        <v>742</v>
      </c>
      <c r="I4" t="s">
        <v>663</v>
      </c>
      <c r="J4" t="s">
        <v>743</v>
      </c>
      <c r="K4" t="s">
        <v>722</v>
      </c>
    </row>
    <row r="5" spans="1:11">
      <c r="A5" t="s">
        <v>161</v>
      </c>
      <c r="B5">
        <v>100401</v>
      </c>
      <c r="C5" t="s">
        <v>92</v>
      </c>
      <c r="D5">
        <v>100</v>
      </c>
      <c r="E5" t="s">
        <v>92</v>
      </c>
      <c r="F5" t="s">
        <v>92</v>
      </c>
      <c r="G5" t="s">
        <v>92</v>
      </c>
      <c r="H5" t="s">
        <v>92</v>
      </c>
      <c r="I5" t="b">
        <v>1</v>
      </c>
      <c r="J5" t="b">
        <v>1</v>
      </c>
    </row>
    <row r="6" spans="1:11">
      <c r="A6" t="s">
        <v>39</v>
      </c>
      <c r="B6" t="s">
        <v>161</v>
      </c>
      <c r="C6" t="s">
        <v>161</v>
      </c>
      <c r="D6" t="s">
        <v>161</v>
      </c>
      <c r="E6" t="s">
        <v>161</v>
      </c>
      <c r="F6" t="s">
        <v>161</v>
      </c>
      <c r="G6" t="s">
        <v>161</v>
      </c>
      <c r="H6" t="s">
        <v>161</v>
      </c>
      <c r="I6" t="s">
        <v>161</v>
      </c>
      <c r="J6" t="s">
        <v>161</v>
      </c>
    </row>
    <row r="7" spans="1:11">
      <c r="A7" t="s">
        <v>161</v>
      </c>
      <c r="B7">
        <v>100501</v>
      </c>
      <c r="C7" t="s">
        <v>140</v>
      </c>
      <c r="D7">
        <v>45</v>
      </c>
      <c r="E7" t="s">
        <v>92</v>
      </c>
      <c r="F7" t="s">
        <v>92</v>
      </c>
      <c r="G7" t="s">
        <v>92</v>
      </c>
      <c r="H7" t="s">
        <v>140</v>
      </c>
      <c r="I7" t="b">
        <v>1</v>
      </c>
      <c r="J7" t="b">
        <v>1</v>
      </c>
    </row>
    <row r="8" spans="1:11">
      <c r="A8" t="s">
        <v>161</v>
      </c>
      <c r="B8">
        <v>100502</v>
      </c>
      <c r="C8" t="s">
        <v>140</v>
      </c>
      <c r="D8">
        <v>45</v>
      </c>
      <c r="E8" t="s">
        <v>92</v>
      </c>
      <c r="F8" t="s">
        <v>92</v>
      </c>
      <c r="G8" t="s">
        <v>140</v>
      </c>
      <c r="H8" t="s">
        <v>140</v>
      </c>
      <c r="I8" t="b">
        <v>1</v>
      </c>
      <c r="J8" t="b">
        <v>1</v>
      </c>
    </row>
    <row r="9" spans="1:11">
      <c r="A9" t="s">
        <v>161</v>
      </c>
      <c r="B9">
        <v>100503</v>
      </c>
      <c r="C9" t="s">
        <v>140</v>
      </c>
      <c r="D9">
        <v>10</v>
      </c>
      <c r="E9" t="s">
        <v>92</v>
      </c>
      <c r="F9" t="s">
        <v>140</v>
      </c>
      <c r="G9" t="s">
        <v>140</v>
      </c>
      <c r="H9" t="s">
        <v>140</v>
      </c>
      <c r="I9" t="b">
        <v>1</v>
      </c>
      <c r="J9" t="b">
        <v>1</v>
      </c>
    </row>
    <row r="10" spans="1:11">
      <c r="A10" t="s">
        <v>39</v>
      </c>
      <c r="B10" t="s">
        <v>161</v>
      </c>
      <c r="C10" t="s">
        <v>161</v>
      </c>
      <c r="D10" t="s">
        <v>161</v>
      </c>
      <c r="E10" t="s">
        <v>161</v>
      </c>
      <c r="F10" t="s">
        <v>161</v>
      </c>
      <c r="G10" t="s">
        <v>161</v>
      </c>
      <c r="H10" t="s">
        <v>161</v>
      </c>
      <c r="I10" t="s">
        <v>161</v>
      </c>
      <c r="J10" t="s">
        <v>161</v>
      </c>
    </row>
    <row r="11" spans="1:11">
      <c r="A11" t="s">
        <v>161</v>
      </c>
      <c r="B11">
        <v>100601</v>
      </c>
      <c r="C11" t="s">
        <v>121</v>
      </c>
      <c r="D11">
        <v>45</v>
      </c>
      <c r="E11" t="s">
        <v>92</v>
      </c>
      <c r="F11" t="s">
        <v>92</v>
      </c>
      <c r="G11" t="s">
        <v>140</v>
      </c>
      <c r="H11" t="s">
        <v>121</v>
      </c>
      <c r="I11" t="b">
        <v>1</v>
      </c>
      <c r="J11" t="b">
        <v>1</v>
      </c>
    </row>
    <row r="12" spans="1:11">
      <c r="A12" t="s">
        <v>161</v>
      </c>
      <c r="B12">
        <v>100602</v>
      </c>
      <c r="C12" t="s">
        <v>121</v>
      </c>
      <c r="D12">
        <v>25</v>
      </c>
      <c r="E12" t="s">
        <v>92</v>
      </c>
      <c r="F12" t="s">
        <v>140</v>
      </c>
      <c r="G12" t="s">
        <v>140</v>
      </c>
      <c r="H12" t="s">
        <v>121</v>
      </c>
      <c r="I12" t="b">
        <v>1</v>
      </c>
      <c r="J12" t="b">
        <v>1</v>
      </c>
    </row>
    <row r="13" spans="1:11">
      <c r="A13" t="s">
        <v>161</v>
      </c>
      <c r="B13">
        <v>100603</v>
      </c>
      <c r="C13" t="s">
        <v>121</v>
      </c>
      <c r="D13">
        <v>25</v>
      </c>
      <c r="E13" t="s">
        <v>92</v>
      </c>
      <c r="F13" t="s">
        <v>140</v>
      </c>
      <c r="G13" t="s">
        <v>121</v>
      </c>
      <c r="H13" t="s">
        <v>121</v>
      </c>
      <c r="I13" t="b">
        <v>1</v>
      </c>
      <c r="J13" t="b">
        <v>1</v>
      </c>
    </row>
    <row r="14" spans="1:11">
      <c r="B14">
        <v>100604</v>
      </c>
      <c r="C14" t="s">
        <v>121</v>
      </c>
      <c r="D14">
        <v>5</v>
      </c>
      <c r="E14" t="s">
        <v>140</v>
      </c>
      <c r="F14" t="s">
        <v>121</v>
      </c>
      <c r="G14" t="s">
        <v>121</v>
      </c>
      <c r="H14" t="s">
        <v>121</v>
      </c>
      <c r="I14" t="b">
        <v>1</v>
      </c>
      <c r="J14" t="b">
        <v>1</v>
      </c>
    </row>
    <row r="15" spans="1:11">
      <c r="A15" t="s">
        <v>39</v>
      </c>
      <c r="B15" t="s">
        <v>161</v>
      </c>
      <c r="C15" t="s">
        <v>161</v>
      </c>
      <c r="D15" t="s">
        <v>161</v>
      </c>
      <c r="E15" t="s">
        <v>161</v>
      </c>
      <c r="F15" t="s">
        <v>161</v>
      </c>
      <c r="G15" t="s">
        <v>161</v>
      </c>
      <c r="H15" t="s">
        <v>161</v>
      </c>
      <c r="I15" t="s">
        <v>161</v>
      </c>
      <c r="J15" t="s">
        <v>161</v>
      </c>
    </row>
    <row r="16" spans="1:11">
      <c r="A16" t="s">
        <v>161</v>
      </c>
      <c r="B16">
        <v>100701</v>
      </c>
      <c r="C16" t="s">
        <v>105</v>
      </c>
      <c r="D16">
        <v>65</v>
      </c>
      <c r="E16" t="s">
        <v>92</v>
      </c>
      <c r="F16" t="s">
        <v>140</v>
      </c>
      <c r="G16" t="s">
        <v>121</v>
      </c>
      <c r="H16" t="s">
        <v>105</v>
      </c>
      <c r="I16" t="b">
        <v>1</v>
      </c>
      <c r="J16" t="b">
        <v>1</v>
      </c>
    </row>
    <row r="17" spans="1:11">
      <c r="A17" t="s">
        <v>161</v>
      </c>
      <c r="B17">
        <v>100702</v>
      </c>
      <c r="C17" t="s">
        <v>105</v>
      </c>
      <c r="D17">
        <v>15</v>
      </c>
      <c r="E17" t="s">
        <v>92</v>
      </c>
      <c r="F17" t="s">
        <v>121</v>
      </c>
      <c r="G17" t="s">
        <v>121</v>
      </c>
      <c r="H17" t="s">
        <v>105</v>
      </c>
      <c r="I17" t="b">
        <v>1</v>
      </c>
      <c r="J17" t="b">
        <v>1</v>
      </c>
      <c r="K17" t="s">
        <v>744</v>
      </c>
    </row>
    <row r="18" spans="1:11">
      <c r="A18" t="s">
        <v>161</v>
      </c>
      <c r="B18">
        <v>100703</v>
      </c>
      <c r="C18" t="s">
        <v>105</v>
      </c>
      <c r="D18">
        <v>15</v>
      </c>
      <c r="E18" t="s">
        <v>92</v>
      </c>
      <c r="F18" t="s">
        <v>140</v>
      </c>
      <c r="G18" t="s">
        <v>140</v>
      </c>
      <c r="H18" t="s">
        <v>105</v>
      </c>
      <c r="I18" t="b">
        <v>1</v>
      </c>
      <c r="J18" t="b">
        <v>1</v>
      </c>
      <c r="K18" t="s">
        <v>744</v>
      </c>
    </row>
    <row r="19" spans="1:11">
      <c r="A19" t="s">
        <v>161</v>
      </c>
      <c r="B19">
        <v>100704</v>
      </c>
      <c r="C19" t="s">
        <v>105</v>
      </c>
      <c r="D19">
        <v>5</v>
      </c>
      <c r="E19" t="s">
        <v>140</v>
      </c>
      <c r="F19" t="s">
        <v>121</v>
      </c>
      <c r="G19" t="s">
        <v>105</v>
      </c>
      <c r="H19" t="s">
        <v>105</v>
      </c>
      <c r="I19" t="b">
        <v>1</v>
      </c>
      <c r="J19" t="b">
        <v>1</v>
      </c>
    </row>
    <row r="20" spans="1:11">
      <c r="A20" t="s">
        <v>39</v>
      </c>
      <c r="B20" t="s">
        <v>161</v>
      </c>
      <c r="C20" t="s">
        <v>161</v>
      </c>
      <c r="D20" t="s">
        <v>161</v>
      </c>
      <c r="E20" t="s">
        <v>161</v>
      </c>
      <c r="F20" t="s">
        <v>161</v>
      </c>
      <c r="G20" t="s">
        <v>161</v>
      </c>
      <c r="H20" t="s">
        <v>161</v>
      </c>
      <c r="I20" t="s">
        <v>161</v>
      </c>
      <c r="J20" t="s">
        <v>161</v>
      </c>
    </row>
    <row r="21" spans="1:11">
      <c r="A21" t="s">
        <v>161</v>
      </c>
      <c r="B21">
        <v>100801</v>
      </c>
      <c r="C21" t="s">
        <v>110</v>
      </c>
      <c r="D21">
        <v>37</v>
      </c>
      <c r="E21" t="s">
        <v>92</v>
      </c>
      <c r="F21" t="s">
        <v>121</v>
      </c>
      <c r="G21" t="s">
        <v>105</v>
      </c>
      <c r="H21" t="s">
        <v>110</v>
      </c>
      <c r="I21" t="b">
        <v>1</v>
      </c>
      <c r="J21" t="b">
        <v>1</v>
      </c>
      <c r="K21" t="s">
        <v>744</v>
      </c>
    </row>
    <row r="22" spans="1:11">
      <c r="A22" t="s">
        <v>161</v>
      </c>
      <c r="B22">
        <v>100802</v>
      </c>
      <c r="C22" t="s">
        <v>110</v>
      </c>
      <c r="D22">
        <v>55</v>
      </c>
      <c r="E22" t="s">
        <v>92</v>
      </c>
      <c r="F22" t="s">
        <v>140</v>
      </c>
      <c r="G22" t="s">
        <v>105</v>
      </c>
      <c r="H22" t="s">
        <v>110</v>
      </c>
      <c r="I22" t="b">
        <v>1</v>
      </c>
      <c r="J22" t="b">
        <v>1</v>
      </c>
      <c r="K22" t="s">
        <v>744</v>
      </c>
    </row>
    <row r="23" spans="1:11">
      <c r="A23" t="s">
        <v>161</v>
      </c>
      <c r="B23">
        <v>100803</v>
      </c>
      <c r="C23" t="s">
        <v>110</v>
      </c>
      <c r="D23">
        <v>3</v>
      </c>
      <c r="E23" t="s">
        <v>121</v>
      </c>
      <c r="F23" t="s">
        <v>105</v>
      </c>
      <c r="G23" t="s">
        <v>105</v>
      </c>
      <c r="H23" t="s">
        <v>110</v>
      </c>
      <c r="I23" t="b">
        <v>1</v>
      </c>
      <c r="J23" t="b">
        <v>1</v>
      </c>
    </row>
    <row r="24" spans="1:11">
      <c r="A24" t="s">
        <v>161</v>
      </c>
      <c r="B24">
        <v>100804</v>
      </c>
      <c r="C24" t="s">
        <v>110</v>
      </c>
      <c r="D24">
        <v>5</v>
      </c>
      <c r="E24" t="s">
        <v>140</v>
      </c>
      <c r="F24" t="s">
        <v>121</v>
      </c>
      <c r="G24" t="s">
        <v>105</v>
      </c>
      <c r="H24" t="s">
        <v>110</v>
      </c>
      <c r="I24" t="b">
        <v>1</v>
      </c>
      <c r="J24" t="b">
        <v>1</v>
      </c>
    </row>
    <row r="25" spans="1:11">
      <c r="A25" t="s">
        <v>39</v>
      </c>
      <c r="B25" t="s">
        <v>161</v>
      </c>
      <c r="C25" t="s">
        <v>161</v>
      </c>
      <c r="D25" t="s">
        <v>161</v>
      </c>
      <c r="E25" t="s">
        <v>161</v>
      </c>
      <c r="F25" t="s">
        <v>161</v>
      </c>
      <c r="G25" t="s">
        <v>161</v>
      </c>
      <c r="H25" t="s">
        <v>161</v>
      </c>
      <c r="I25" t="s">
        <v>161</v>
      </c>
      <c r="J25" t="s">
        <v>161</v>
      </c>
    </row>
    <row r="26" spans="1:11">
      <c r="A26" t="s">
        <v>161</v>
      </c>
      <c r="B26">
        <v>100901</v>
      </c>
      <c r="C26" t="s">
        <v>99</v>
      </c>
      <c r="D26">
        <v>25</v>
      </c>
      <c r="E26" t="s">
        <v>121</v>
      </c>
      <c r="F26" t="s">
        <v>105</v>
      </c>
      <c r="G26" t="s">
        <v>110</v>
      </c>
      <c r="H26" t="s">
        <v>99</v>
      </c>
      <c r="I26" t="b">
        <v>1</v>
      </c>
      <c r="J26" t="b">
        <v>1</v>
      </c>
    </row>
    <row r="27" spans="1:11">
      <c r="A27" t="s">
        <v>161</v>
      </c>
      <c r="B27">
        <v>100902</v>
      </c>
      <c r="C27" t="s">
        <v>99</v>
      </c>
      <c r="D27">
        <v>25</v>
      </c>
      <c r="E27" t="s">
        <v>121</v>
      </c>
      <c r="F27" t="s">
        <v>121</v>
      </c>
      <c r="G27" t="s">
        <v>110</v>
      </c>
      <c r="H27" t="s">
        <v>99</v>
      </c>
      <c r="I27" t="b">
        <v>1</v>
      </c>
      <c r="J27" t="b">
        <v>1</v>
      </c>
      <c r="K27" t="s">
        <v>744</v>
      </c>
    </row>
    <row r="28" spans="1:11">
      <c r="A28" t="s">
        <v>161</v>
      </c>
      <c r="B28">
        <v>100903</v>
      </c>
      <c r="C28" t="s">
        <v>99</v>
      </c>
      <c r="D28">
        <v>25</v>
      </c>
      <c r="E28" t="s">
        <v>121</v>
      </c>
      <c r="F28" t="s">
        <v>110</v>
      </c>
      <c r="G28" t="s">
        <v>110</v>
      </c>
      <c r="H28" t="s">
        <v>99</v>
      </c>
      <c r="I28" t="b">
        <v>1</v>
      </c>
      <c r="J28" t="b">
        <v>1</v>
      </c>
      <c r="K28" t="s">
        <v>744</v>
      </c>
    </row>
    <row r="29" spans="1:11">
      <c r="A29" t="s">
        <v>161</v>
      </c>
      <c r="B29">
        <v>100904</v>
      </c>
      <c r="C29" t="s">
        <v>99</v>
      </c>
      <c r="D29">
        <v>25</v>
      </c>
      <c r="E29" t="s">
        <v>92</v>
      </c>
      <c r="F29" t="s">
        <v>121</v>
      </c>
      <c r="G29" t="s">
        <v>110</v>
      </c>
      <c r="H29" t="s">
        <v>99</v>
      </c>
      <c r="I29" t="b">
        <v>1</v>
      </c>
      <c r="J29" t="b">
        <v>1</v>
      </c>
      <c r="K29" t="s">
        <v>744</v>
      </c>
    </row>
    <row r="30" spans="1:11">
      <c r="A30" t="s">
        <v>39</v>
      </c>
      <c r="B30" t="s">
        <v>161</v>
      </c>
      <c r="C30" t="s">
        <v>161</v>
      </c>
      <c r="D30" t="s">
        <v>161</v>
      </c>
      <c r="E30" t="s">
        <v>161</v>
      </c>
      <c r="F30" t="s">
        <v>161</v>
      </c>
      <c r="G30" t="s">
        <v>161</v>
      </c>
      <c r="H30" t="s">
        <v>161</v>
      </c>
      <c r="I30" t="s">
        <v>161</v>
      </c>
      <c r="J30" t="s">
        <v>161</v>
      </c>
    </row>
    <row r="31" spans="1:11">
      <c r="A31" t="s">
        <v>161</v>
      </c>
      <c r="B31">
        <v>200101</v>
      </c>
      <c r="C31" t="s">
        <v>507</v>
      </c>
      <c r="D31">
        <v>100</v>
      </c>
      <c r="E31" t="s">
        <v>507</v>
      </c>
      <c r="F31" t="s">
        <v>507</v>
      </c>
      <c r="G31" t="s">
        <v>507</v>
      </c>
      <c r="H31" t="s">
        <v>507</v>
      </c>
      <c r="I31" t="b">
        <v>0</v>
      </c>
      <c r="J31" t="b">
        <v>1</v>
      </c>
    </row>
    <row r="32" spans="1:11">
      <c r="A32" t="s">
        <v>161</v>
      </c>
      <c r="B32">
        <v>200201</v>
      </c>
      <c r="C32" t="s">
        <v>563</v>
      </c>
      <c r="D32">
        <v>100</v>
      </c>
      <c r="E32" t="s">
        <v>563</v>
      </c>
      <c r="F32" t="s">
        <v>563</v>
      </c>
      <c r="G32" t="s">
        <v>563</v>
      </c>
      <c r="H32" t="s">
        <v>563</v>
      </c>
      <c r="I32" t="b">
        <v>0</v>
      </c>
      <c r="J32" t="b">
        <v>1</v>
      </c>
    </row>
    <row r="33" spans="2:10">
      <c r="B33" t="s">
        <v>161</v>
      </c>
      <c r="C33" t="s">
        <v>161</v>
      </c>
      <c r="D33" t="s">
        <v>161</v>
      </c>
      <c r="E33" t="s">
        <v>161</v>
      </c>
      <c r="F33" t="s">
        <v>161</v>
      </c>
      <c r="G33" t="s">
        <v>161</v>
      </c>
      <c r="H33" t="s">
        <v>161</v>
      </c>
      <c r="I33" t="s">
        <v>161</v>
      </c>
      <c r="J33" t="s">
        <v>161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745</v>
      </c>
      <c r="F1" t="s">
        <v>746</v>
      </c>
      <c r="G1" t="s">
        <v>747</v>
      </c>
      <c r="H1" t="s">
        <v>748</v>
      </c>
      <c r="I1" t="s">
        <v>749</v>
      </c>
      <c r="K1" t="s">
        <v>750</v>
      </c>
      <c r="L1" t="s">
        <v>751</v>
      </c>
    </row>
    <row r="2" spans="1:12">
      <c r="A2" s="3" t="s">
        <v>29</v>
      </c>
      <c r="B2" s="3" t="s">
        <v>30</v>
      </c>
      <c r="C2" s="3" t="s">
        <v>31</v>
      </c>
      <c r="D2" t="s">
        <v>34</v>
      </c>
      <c r="E2" t="s">
        <v>31</v>
      </c>
      <c r="F2" t="s">
        <v>31</v>
      </c>
      <c r="G2" t="s">
        <v>31</v>
      </c>
      <c r="H2" t="s">
        <v>31</v>
      </c>
      <c r="I2" t="s">
        <v>31</v>
      </c>
      <c r="K2" t="s">
        <v>31</v>
      </c>
      <c r="L2" t="s">
        <v>31</v>
      </c>
    </row>
    <row r="3" s="2" customFormat="1" ht="121.8" spans="1:12">
      <c r="A3" s="4" t="s">
        <v>39</v>
      </c>
      <c r="B3" s="4"/>
      <c r="C3" s="4" t="s">
        <v>752</v>
      </c>
      <c r="D3" s="2"/>
      <c r="E3" s="2" t="s">
        <v>753</v>
      </c>
      <c r="G3" s="2" t="s">
        <v>754</v>
      </c>
      <c r="H3" s="2" t="s">
        <v>755</v>
      </c>
      <c r="I3" s="2" t="s">
        <v>754</v>
      </c>
      <c r="K3" s="2" t="s">
        <v>756</v>
      </c>
    </row>
    <row r="4" spans="1:12">
      <c r="A4" t="s">
        <v>39</v>
      </c>
      <c r="B4" t="s">
        <v>59</v>
      </c>
      <c r="C4" t="s">
        <v>60</v>
      </c>
      <c r="D4" t="s">
        <v>64</v>
      </c>
      <c r="E4" t="s">
        <v>757</v>
      </c>
      <c r="F4" t="s">
        <v>758</v>
      </c>
      <c r="G4" t="s">
        <v>759</v>
      </c>
      <c r="H4" t="s">
        <v>760</v>
      </c>
      <c r="I4" t="s">
        <v>761</v>
      </c>
      <c r="J4" t="s">
        <v>722</v>
      </c>
      <c r="K4" t="s">
        <v>762</v>
      </c>
      <c r="L4" t="s">
        <v>763</v>
      </c>
    </row>
    <row r="5" spans="1:12">
      <c r="B5">
        <v>1001</v>
      </c>
      <c r="C5" t="s">
        <v>514</v>
      </c>
      <c r="D5" t="s">
        <v>99</v>
      </c>
      <c r="E5" t="s">
        <v>764</v>
      </c>
      <c r="F5" t="s">
        <v>765</v>
      </c>
      <c r="H5" t="s">
        <v>766</v>
      </c>
      <c r="K5" t="s">
        <v>767</v>
      </c>
    </row>
    <row r="6" spans="1:12">
      <c r="B6">
        <v>1002</v>
      </c>
      <c r="C6" s="16" t="s">
        <v>520</v>
      </c>
      <c r="D6" s="16" t="s">
        <v>110</v>
      </c>
      <c r="E6" t="s">
        <v>768</v>
      </c>
      <c r="F6" t="s">
        <v>765</v>
      </c>
      <c r="H6" t="s">
        <v>769</v>
      </c>
      <c r="K6" t="s">
        <v>770</v>
      </c>
    </row>
    <row r="7" spans="1:12">
      <c r="B7">
        <v>1003</v>
      </c>
      <c r="C7" s="16" t="s">
        <v>527</v>
      </c>
      <c r="D7" s="16" t="s">
        <v>105</v>
      </c>
      <c r="E7" t="s">
        <v>771</v>
      </c>
      <c r="F7" t="s">
        <v>765</v>
      </c>
      <c r="H7" t="s">
        <v>772</v>
      </c>
      <c r="K7" t="s">
        <v>773</v>
      </c>
    </row>
    <row r="8" spans="1:12">
      <c r="B8">
        <v>1004</v>
      </c>
      <c r="C8" s="16" t="s">
        <v>534</v>
      </c>
      <c r="D8" s="16" t="s">
        <v>121</v>
      </c>
      <c r="E8" t="s">
        <v>774</v>
      </c>
      <c r="F8" t="s">
        <v>765</v>
      </c>
      <c r="H8" t="s">
        <v>775</v>
      </c>
      <c r="K8" t="s">
        <v>776</v>
      </c>
    </row>
    <row r="9" spans="1:12">
      <c r="B9">
        <v>1005</v>
      </c>
      <c r="C9" s="16" t="s">
        <v>541</v>
      </c>
      <c r="D9" s="16" t="s">
        <v>140</v>
      </c>
      <c r="E9" t="s">
        <v>777</v>
      </c>
      <c r="F9" t="s">
        <v>765</v>
      </c>
      <c r="H9" t="s">
        <v>778</v>
      </c>
      <c r="K9" t="s">
        <v>767</v>
      </c>
    </row>
    <row r="10" spans="1:12">
      <c r="B10">
        <v>1006</v>
      </c>
      <c r="C10" s="16" t="s">
        <v>548</v>
      </c>
      <c r="D10" s="16" t="s">
        <v>92</v>
      </c>
      <c r="E10" t="s">
        <v>779</v>
      </c>
      <c r="F10" t="s">
        <v>765</v>
      </c>
      <c r="H10" t="s">
        <v>780</v>
      </c>
      <c r="K10" t="s">
        <v>770</v>
      </c>
    </row>
    <row r="11" spans="1:12">
      <c r="B11">
        <v>2001</v>
      </c>
      <c r="C11" s="16" t="s">
        <v>555</v>
      </c>
      <c r="D11" s="16" t="s">
        <v>507</v>
      </c>
      <c r="E11" t="s">
        <v>779</v>
      </c>
      <c r="F11" t="s">
        <v>765</v>
      </c>
      <c r="H11" t="s">
        <v>780</v>
      </c>
      <c r="J11" t="s">
        <v>781</v>
      </c>
    </row>
    <row r="12" spans="1:12">
      <c r="B12">
        <v>2002</v>
      </c>
      <c r="C12" s="16" t="s">
        <v>562</v>
      </c>
      <c r="D12" s="16" t="s">
        <v>563</v>
      </c>
      <c r="E12" t="s">
        <v>779</v>
      </c>
      <c r="F12" t="s">
        <v>765</v>
      </c>
      <c r="H12" t="s">
        <v>780</v>
      </c>
      <c r="J12" t="s">
        <v>781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workbookViewId="0">
      <selection activeCell="G23" sqref="G23"/>
    </sheetView>
  </sheetViews>
  <sheetFormatPr defaultColWidth="7.5" defaultRowHeight="17.4"/>
  <cols>
    <col min="1" max="1" width="6.91666666666667" customWidth="1"/>
    <col min="2" max="2" width="17.9166666666667" customWidth="1"/>
    <col min="3" max="3" width="14.5" customWidth="1"/>
    <col min="4" max="4" width="16.5" customWidth="1"/>
    <col min="5" max="5" width="12.0833333333333" customWidth="1"/>
    <col min="6" max="6" width="20.8333333333333" customWidth="1"/>
    <col min="7" max="7" width="20.0833333333333" customWidth="1"/>
    <col min="8" max="8" width="19.9166666666667" customWidth="1"/>
    <col min="9" max="9" width="13.1666666666667" customWidth="1"/>
    <col min="10" max="10" width="12.0833333333333" customWidth="1"/>
  </cols>
  <sheetData>
    <row r="1" spans="1:10">
      <c r="A1" t="s">
        <v>0</v>
      </c>
      <c r="B1" t="s">
        <v>782</v>
      </c>
      <c r="C1" t="s">
        <v>783</v>
      </c>
      <c r="D1" t="s">
        <v>784</v>
      </c>
      <c r="F1" t="s">
        <v>785</v>
      </c>
      <c r="G1" t="s">
        <v>786</v>
      </c>
      <c r="H1" t="s">
        <v>787</v>
      </c>
      <c r="I1" t="s">
        <v>788</v>
      </c>
    </row>
    <row r="2" spans="1:10">
      <c r="A2" t="s">
        <v>29</v>
      </c>
      <c r="B2" t="s">
        <v>789</v>
      </c>
      <c r="C2" t="s">
        <v>30</v>
      </c>
      <c r="D2" t="s">
        <v>790</v>
      </c>
      <c r="F2" t="s">
        <v>644</v>
      </c>
      <c r="G2" t="s">
        <v>31</v>
      </c>
      <c r="H2" t="s">
        <v>31</v>
      </c>
      <c r="I2" t="s">
        <v>30</v>
      </c>
    </row>
    <row r="3" s="2" customFormat="1" ht="198" customHeight="1" spans="1:10">
      <c r="A3" s="2" t="s">
        <v>39</v>
      </c>
      <c r="B3" s="2" t="s">
        <v>791</v>
      </c>
      <c r="C3" s="2" t="s">
        <v>792</v>
      </c>
      <c r="D3" s="2" t="s">
        <v>793</v>
      </c>
      <c r="F3" s="2" t="s">
        <v>794</v>
      </c>
      <c r="G3" s="2" t="s">
        <v>795</v>
      </c>
      <c r="H3" s="2" t="s">
        <v>796</v>
      </c>
      <c r="I3" s="2" t="s">
        <v>797</v>
      </c>
    </row>
    <row r="4" spans="1:10">
      <c r="A4" t="s">
        <v>39</v>
      </c>
      <c r="B4" t="s">
        <v>798</v>
      </c>
      <c r="C4" t="s">
        <v>799</v>
      </c>
      <c r="D4" t="s">
        <v>800</v>
      </c>
      <c r="E4" t="s">
        <v>801</v>
      </c>
      <c r="F4" t="s">
        <v>802</v>
      </c>
      <c r="G4" t="s">
        <v>803</v>
      </c>
      <c r="H4" t="s">
        <v>804</v>
      </c>
      <c r="I4" t="s">
        <v>805</v>
      </c>
      <c r="J4" t="s">
        <v>801</v>
      </c>
    </row>
    <row r="6" spans="1:10">
      <c r="B6">
        <v>9001</v>
      </c>
      <c r="C6">
        <v>30</v>
      </c>
      <c r="D6" t="s">
        <v>806</v>
      </c>
      <c r="E6" t="str">
        <f>LOOKUP(B6,Item!B:B,Item!H:H)</f>
        <v>史诗</v>
      </c>
      <c r="F6">
        <v>0.9</v>
      </c>
      <c r="G6" t="s">
        <v>807</v>
      </c>
      <c r="H6" t="s">
        <v>808</v>
      </c>
      <c r="I6">
        <v>0</v>
      </c>
      <c r="J6" t="str">
        <f>LOOKUP(B6,Item!B:B,Item!D:D)</f>
        <v>红茶</v>
      </c>
    </row>
    <row r="7" spans="1:10">
      <c r="B7">
        <v>9002</v>
      </c>
      <c r="C7">
        <v>20</v>
      </c>
      <c r="D7" t="s">
        <v>806</v>
      </c>
      <c r="E7" t="str">
        <f>LOOKUP(B7,Item!B:B,Item!H:H)</f>
        <v>稀有</v>
      </c>
      <c r="F7">
        <v>0.8</v>
      </c>
      <c r="G7" t="s">
        <v>807</v>
      </c>
      <c r="H7" t="s">
        <v>808</v>
      </c>
      <c r="I7">
        <v>0</v>
      </c>
      <c r="J7" t="str">
        <f>LOOKUP(B7,Item!B:B,Item!D:D)</f>
        <v>波尔多</v>
      </c>
    </row>
    <row r="8" spans="1:10">
      <c r="B8">
        <v>9003</v>
      </c>
      <c r="C8">
        <v>20</v>
      </c>
      <c r="D8" t="s">
        <v>806</v>
      </c>
      <c r="E8" t="str">
        <f>LOOKUP(B8,Item!B:B,Item!H:H)</f>
        <v>稀有</v>
      </c>
      <c r="F8">
        <v>0.8</v>
      </c>
      <c r="G8" t="s">
        <v>807</v>
      </c>
      <c r="H8" t="s">
        <v>808</v>
      </c>
      <c r="I8">
        <v>0</v>
      </c>
      <c r="J8" t="str">
        <f>LOOKUP(B8,Item!B:B,Item!D:D)</f>
        <v>勃艮第</v>
      </c>
    </row>
    <row r="9" spans="1:10">
      <c r="B9">
        <v>9004</v>
      </c>
      <c r="C9">
        <v>30</v>
      </c>
      <c r="D9" t="s">
        <v>806</v>
      </c>
      <c r="E9" t="str">
        <f>LOOKUP(B9,Item!B:B,Item!H:H)</f>
        <v>史诗</v>
      </c>
      <c r="F9">
        <v>0.9</v>
      </c>
      <c r="G9" t="s">
        <v>807</v>
      </c>
      <c r="H9" t="s">
        <v>808</v>
      </c>
      <c r="I9">
        <v>0</v>
      </c>
      <c r="J9" t="str">
        <f>LOOKUP(B9,Item!B:B,Item!D:D)</f>
        <v>霞多丽</v>
      </c>
    </row>
    <row r="10" spans="1:10">
      <c r="B10">
        <v>9005</v>
      </c>
      <c r="C10">
        <v>20</v>
      </c>
      <c r="D10" t="s">
        <v>806</v>
      </c>
      <c r="E10" t="str">
        <f>LOOKUP(B10,Item!B:B,Item!H:H)</f>
        <v>稀有</v>
      </c>
      <c r="F10">
        <v>0.8</v>
      </c>
      <c r="G10" t="s">
        <v>807</v>
      </c>
      <c r="H10" t="s">
        <v>808</v>
      </c>
      <c r="I10">
        <v>0</v>
      </c>
      <c r="J10" t="str">
        <f>LOOKUP(B10,Item!B:B,Item!D:D)</f>
        <v>子弹杯</v>
      </c>
    </row>
    <row r="11" spans="1:10">
      <c r="B11">
        <v>9006</v>
      </c>
      <c r="C11">
        <v>20</v>
      </c>
      <c r="D11" t="s">
        <v>806</v>
      </c>
      <c r="E11" t="str">
        <f>LOOKUP(B11,Item!B:B,Item!H:H)</f>
        <v>稀有</v>
      </c>
      <c r="F11">
        <v>0.8</v>
      </c>
      <c r="G11" t="s">
        <v>807</v>
      </c>
      <c r="H11" t="s">
        <v>808</v>
      </c>
      <c r="I11">
        <v>0</v>
      </c>
      <c r="J11" t="str">
        <f>LOOKUP(B11,Item!B:B,Item!D:D)</f>
        <v>郁金香杯</v>
      </c>
    </row>
    <row r="12" spans="1:10">
      <c r="B12">
        <v>9007</v>
      </c>
      <c r="C12">
        <v>20</v>
      </c>
      <c r="D12" t="s">
        <v>806</v>
      </c>
      <c r="E12" t="str">
        <f>LOOKUP(B12,Item!B:B,Item!H:H)</f>
        <v>稀有</v>
      </c>
      <c r="F12">
        <v>0.8</v>
      </c>
      <c r="G12" t="s">
        <v>807</v>
      </c>
      <c r="H12" t="s">
        <v>808</v>
      </c>
      <c r="I12">
        <v>0</v>
      </c>
      <c r="J12" t="str">
        <f>LOOKUP(B12,Item!B:B,Item!D:D)</f>
        <v>平底杯</v>
      </c>
    </row>
    <row r="13" spans="1:10">
      <c r="B13">
        <v>9008</v>
      </c>
      <c r="C13">
        <v>30</v>
      </c>
      <c r="D13" t="s">
        <v>806</v>
      </c>
      <c r="E13" t="str">
        <f>LOOKUP(B13,Item!B:B,Item!H:H)</f>
        <v>史诗</v>
      </c>
      <c r="F13">
        <v>0.9</v>
      </c>
      <c r="G13" t="s">
        <v>807</v>
      </c>
      <c r="H13" t="s">
        <v>808</v>
      </c>
      <c r="I13">
        <v>0</v>
      </c>
      <c r="J13" t="str">
        <f>LOOKUP(B13,Item!B:B,Item!D:D)</f>
        <v>年份酒</v>
      </c>
    </row>
    <row r="14" spans="1:10">
      <c r="B14">
        <v>9009</v>
      </c>
      <c r="C14">
        <v>15</v>
      </c>
      <c r="D14" t="s">
        <v>806</v>
      </c>
      <c r="E14" t="str">
        <f>LOOKUP(B14,Item!B:B,Item!H:H)</f>
        <v>优秀</v>
      </c>
      <c r="F14">
        <v>0.7</v>
      </c>
      <c r="G14" t="s">
        <v>807</v>
      </c>
      <c r="H14" t="s">
        <v>808</v>
      </c>
      <c r="I14">
        <v>0</v>
      </c>
      <c r="J14" t="str">
        <f>LOOKUP(B14,Item!B:B,Item!D:D)</f>
        <v>凉白开</v>
      </c>
    </row>
    <row r="15" spans="1:10">
      <c r="B15">
        <v>9010</v>
      </c>
      <c r="C15">
        <v>30</v>
      </c>
      <c r="D15" t="s">
        <v>806</v>
      </c>
      <c r="E15" t="str">
        <f>LOOKUP(B15,Item!B:B,Item!H:H)</f>
        <v>史诗</v>
      </c>
      <c r="F15">
        <v>0.9</v>
      </c>
      <c r="G15" t="s">
        <v>807</v>
      </c>
      <c r="H15" t="s">
        <v>808</v>
      </c>
      <c r="I15">
        <v>0</v>
      </c>
      <c r="J15" t="str">
        <f>LOOKUP(B15,Item!B:B,Item!D:D)</f>
        <v>威士忌</v>
      </c>
    </row>
    <row r="16" spans="1:10">
      <c r="B16">
        <v>9011</v>
      </c>
      <c r="C16">
        <v>50</v>
      </c>
      <c r="D16" t="s">
        <v>806</v>
      </c>
      <c r="E16" t="str">
        <f>LOOKUP(B16,Item!B:B,Item!H:H)</f>
        <v>传说</v>
      </c>
      <c r="F16">
        <v>1</v>
      </c>
      <c r="G16" t="s">
        <v>807</v>
      </c>
      <c r="H16" t="s">
        <v>808</v>
      </c>
      <c r="I16">
        <v>100</v>
      </c>
      <c r="J16" t="str">
        <f>LOOKUP(B16,Item!B:B,Item!D:D)</f>
        <v>威士忌雪茄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D28" sqref="D28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809</v>
      </c>
      <c r="D1" t="s">
        <v>810</v>
      </c>
      <c r="E1" t="s">
        <v>7</v>
      </c>
    </row>
    <row r="2" spans="1:5">
      <c r="A2" s="3" t="s">
        <v>29</v>
      </c>
      <c r="B2" s="3" t="s">
        <v>30</v>
      </c>
      <c r="C2" t="s">
        <v>31</v>
      </c>
      <c r="D2" t="s">
        <v>811</v>
      </c>
      <c r="E2" t="s">
        <v>30</v>
      </c>
    </row>
    <row r="3" spans="1:5">
      <c r="A3" s="4" t="s">
        <v>39</v>
      </c>
      <c r="B3" s="4" t="s">
        <v>59</v>
      </c>
      <c r="C3" t="s">
        <v>60</v>
      </c>
      <c r="D3" t="s">
        <v>812</v>
      </c>
      <c r="E3" t="s">
        <v>813</v>
      </c>
    </row>
    <row r="4" spans="1:5">
      <c r="B4">
        <v>1001</v>
      </c>
      <c r="C4" t="s">
        <v>91</v>
      </c>
      <c r="D4" t="s">
        <v>91</v>
      </c>
      <c r="E4">
        <v>1</v>
      </c>
    </row>
    <row r="5" spans="1:5">
      <c r="B5">
        <v>1002</v>
      </c>
      <c r="C5" t="s">
        <v>814</v>
      </c>
      <c r="D5" t="s">
        <v>139</v>
      </c>
      <c r="E5">
        <v>2</v>
      </c>
    </row>
    <row r="6" spans="1:5">
      <c r="B6">
        <v>1003</v>
      </c>
      <c r="C6" t="s">
        <v>815</v>
      </c>
      <c r="D6" t="s">
        <v>190</v>
      </c>
      <c r="E6">
        <v>3</v>
      </c>
    </row>
    <row r="7" spans="1:5">
      <c r="B7">
        <v>1004</v>
      </c>
      <c r="C7" t="s">
        <v>816</v>
      </c>
      <c r="D7" t="s">
        <v>392</v>
      </c>
      <c r="E7">
        <v>4</v>
      </c>
    </row>
    <row r="8" spans="1:5">
      <c r="D8" t="s">
        <v>237</v>
      </c>
    </row>
    <row r="9" spans="1:5">
      <c r="D9" t="s">
        <v>499</v>
      </c>
    </row>
    <row r="10" spans="1:5">
      <c r="B10">
        <v>1005</v>
      </c>
      <c r="C10" t="s">
        <v>817</v>
      </c>
      <c r="D10" t="s">
        <v>270</v>
      </c>
      <c r="E10">
        <v>5</v>
      </c>
    </row>
    <row r="11" spans="1:5">
      <c r="D11" t="s">
        <v>315</v>
      </c>
    </row>
    <row r="12" spans="1:5">
      <c r="B12">
        <v>1006</v>
      </c>
      <c r="C12" t="s">
        <v>437</v>
      </c>
      <c r="D12" t="s">
        <v>437</v>
      </c>
      <c r="E12">
        <v>6</v>
      </c>
    </row>
    <row r="13" spans="1:5">
      <c r="D13" t="s">
        <v>485</v>
      </c>
    </row>
    <row r="14" spans="1:5">
      <c r="D14" t="s">
        <v>490</v>
      </c>
    </row>
    <row r="15" spans="1:5">
      <c r="D15" t="s">
        <v>211</v>
      </c>
    </row>
    <row r="22" spans="3:4">
      <c r="C22" s="16"/>
    </row>
    <row r="23" spans="3:4">
      <c r="C23" s="16"/>
    </row>
    <row r="24" spans="3:4">
      <c r="C24" s="16"/>
      <c r="D24" s="16"/>
    </row>
    <row r="25" spans="3:4">
      <c r="C25" s="16"/>
      <c r="D25" s="16"/>
    </row>
    <row r="26" spans="3:4">
      <c r="C26" s="16"/>
      <c r="D26" s="16"/>
    </row>
    <row r="27" spans="3:4">
      <c r="C27" s="16"/>
      <c r="D27" s="16"/>
    </row>
    <row r="28" spans="3:4">
      <c r="C28" s="16"/>
      <c r="D28" s="16"/>
    </row>
    <row r="29" spans="3:4">
      <c r="C29" s="16"/>
      <c r="D29" s="16"/>
    </row>
    <row r="30" spans="3:4">
      <c r="C30" s="16"/>
      <c r="D30" s="16"/>
    </row>
    <row r="31" spans="3:4">
      <c r="C31" s="16"/>
      <c r="D31" s="16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N28" sqref="N28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3</v>
      </c>
      <c r="C1" t="s">
        <v>818</v>
      </c>
      <c r="D1" t="s">
        <v>819</v>
      </c>
    </row>
    <row r="2" spans="1:4">
      <c r="A2" s="3" t="s">
        <v>29</v>
      </c>
      <c r="B2" s="3" t="s">
        <v>32</v>
      </c>
      <c r="C2" s="3" t="s">
        <v>31</v>
      </c>
      <c r="D2" t="s">
        <v>30</v>
      </c>
    </row>
    <row r="3" spans="1:4">
      <c r="A3" s="4" t="s">
        <v>39</v>
      </c>
      <c r="B3" s="4" t="s">
        <v>59</v>
      </c>
      <c r="C3" s="4" t="s">
        <v>820</v>
      </c>
      <c r="D3" t="s">
        <v>821</v>
      </c>
    </row>
    <row r="5" spans="1:4">
      <c r="B5" t="s">
        <v>91</v>
      </c>
      <c r="C5" t="b">
        <v>0</v>
      </c>
      <c r="D5">
        <v>1001</v>
      </c>
    </row>
    <row r="6" spans="1:4">
      <c r="B6" t="s">
        <v>139</v>
      </c>
      <c r="C6" t="b">
        <v>1</v>
      </c>
    </row>
    <row r="7" spans="1:4">
      <c r="B7" t="s">
        <v>190</v>
      </c>
      <c r="C7" t="b">
        <v>1</v>
      </c>
    </row>
    <row r="8" spans="1:4">
      <c r="B8" t="s">
        <v>211</v>
      </c>
      <c r="C8" t="b">
        <v>0</v>
      </c>
      <c r="D8">
        <v>4003</v>
      </c>
    </row>
    <row r="9" spans="1:4">
      <c r="B9" t="s">
        <v>392</v>
      </c>
      <c r="C9" t="b">
        <v>1</v>
      </c>
    </row>
    <row r="10" spans="1:4">
      <c r="B10" t="s">
        <v>237</v>
      </c>
      <c r="C10" t="b">
        <v>1</v>
      </c>
    </row>
    <row r="11" spans="1:4">
      <c r="B11" t="s">
        <v>270</v>
      </c>
      <c r="C11" t="b">
        <v>0</v>
      </c>
      <c r="D11">
        <v>6001</v>
      </c>
    </row>
    <row r="12" spans="1:4">
      <c r="B12" t="s">
        <v>315</v>
      </c>
      <c r="C12" t="b">
        <v>0</v>
      </c>
      <c r="D12">
        <v>7004</v>
      </c>
    </row>
    <row r="13" spans="1:4">
      <c r="B13" t="s">
        <v>437</v>
      </c>
      <c r="C13" t="b">
        <v>1</v>
      </c>
    </row>
    <row r="14" spans="1:4">
      <c r="B14" t="s">
        <v>485</v>
      </c>
      <c r="C14" t="b">
        <v>0</v>
      </c>
      <c r="D14">
        <v>10001</v>
      </c>
    </row>
    <row r="15" spans="1:4">
      <c r="B15" t="s">
        <v>490</v>
      </c>
      <c r="C15" t="b">
        <v>0</v>
      </c>
      <c r="D15">
        <v>11002</v>
      </c>
    </row>
    <row r="16" spans="1:4">
      <c r="B16" t="s">
        <v>499</v>
      </c>
      <c r="C16" t="b">
        <v>1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2"/>
  <sheetViews>
    <sheetView workbookViewId="0">
      <selection activeCell="S9" sqref="S9:S12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16.8333333333333" customWidth="1"/>
    <col min="8" max="8" width="36.75" customWidth="1"/>
    <col min="9" max="9" width="22.75" customWidth="1"/>
    <col min="10" max="10" width="28" customWidth="1"/>
    <col min="11" max="11" width="13.0833333333333" customWidth="1"/>
    <col min="12" max="12" width="21.3333333333333" customWidth="1"/>
    <col min="13" max="13" width="21.6666666666667" customWidth="1"/>
    <col min="14" max="14" width="13" customWidth="1"/>
    <col min="15" max="15" width="15.6666666666667" customWidth="1"/>
    <col min="16" max="16" width="20.0833333333333" customWidth="1"/>
    <col min="17" max="17" width="21.9166666666667" customWidth="1"/>
    <col min="18" max="18" width="22.1666666666667" customWidth="1"/>
    <col min="19" max="19" width="25.5" customWidth="1"/>
  </cols>
  <sheetData>
    <row r="1" spans="1:19">
      <c r="A1" t="s">
        <v>0</v>
      </c>
      <c r="B1" t="s">
        <v>1</v>
      </c>
      <c r="C1" t="s">
        <v>822</v>
      </c>
      <c r="D1" t="s">
        <v>7</v>
      </c>
      <c r="E1" t="s">
        <v>823</v>
      </c>
      <c r="F1" t="s">
        <v>640</v>
      </c>
      <c r="G1" t="s">
        <v>824</v>
      </c>
      <c r="H1" t="s">
        <v>825</v>
      </c>
      <c r="I1" t="s">
        <v>826</v>
      </c>
      <c r="J1" t="s">
        <v>827</v>
      </c>
      <c r="K1" t="s">
        <v>828</v>
      </c>
      <c r="L1" t="s">
        <v>829</v>
      </c>
      <c r="M1" t="s">
        <v>830</v>
      </c>
      <c r="N1" t="s">
        <v>831</v>
      </c>
      <c r="O1" t="s">
        <v>832</v>
      </c>
      <c r="P1" t="s">
        <v>833</v>
      </c>
      <c r="Q1" t="s">
        <v>834</v>
      </c>
      <c r="R1" t="s">
        <v>835</v>
      </c>
      <c r="S1" t="s">
        <v>836</v>
      </c>
    </row>
    <row r="2" spans="1:19">
      <c r="A2" t="s">
        <v>29</v>
      </c>
      <c r="B2" t="s">
        <v>30</v>
      </c>
      <c r="C2" t="s">
        <v>31</v>
      </c>
      <c r="D2" t="s">
        <v>30</v>
      </c>
      <c r="E2" t="s">
        <v>35</v>
      </c>
      <c r="F2" t="s">
        <v>35</v>
      </c>
      <c r="G2" t="s">
        <v>31</v>
      </c>
      <c r="H2" t="s">
        <v>31</v>
      </c>
      <c r="I2" t="s">
        <v>31</v>
      </c>
      <c r="J2" t="s">
        <v>31</v>
      </c>
      <c r="K2" t="s">
        <v>31</v>
      </c>
      <c r="L2" t="s">
        <v>837</v>
      </c>
      <c r="M2" t="s">
        <v>838</v>
      </c>
      <c r="N2" t="s">
        <v>30</v>
      </c>
      <c r="O2" t="s">
        <v>30</v>
      </c>
      <c r="P2" t="s">
        <v>30</v>
      </c>
      <c r="Q2" t="s">
        <v>30</v>
      </c>
      <c r="R2" t="s">
        <v>30</v>
      </c>
      <c r="S2" t="s">
        <v>30</v>
      </c>
    </row>
    <row r="3" s="2" customFormat="1" ht="77" customHeight="1" spans="1:19">
      <c r="A3" s="2" t="s">
        <v>39</v>
      </c>
      <c r="B3" s="2" t="s">
        <v>839</v>
      </c>
      <c r="C3" s="2" t="s">
        <v>840</v>
      </c>
      <c r="D3" s="2" t="s">
        <v>841</v>
      </c>
      <c r="E3" s="2" t="s">
        <v>842</v>
      </c>
      <c r="F3" s="2" t="s">
        <v>843</v>
      </c>
      <c r="G3" s="2" t="s">
        <v>844</v>
      </c>
      <c r="H3" s="2" t="s">
        <v>845</v>
      </c>
      <c r="I3" s="2" t="s">
        <v>846</v>
      </c>
      <c r="J3" s="2" t="s">
        <v>847</v>
      </c>
      <c r="K3" s="2" t="s">
        <v>848</v>
      </c>
      <c r="L3" s="2" t="s">
        <v>849</v>
      </c>
      <c r="M3" s="2" t="s">
        <v>850</v>
      </c>
      <c r="N3" s="2" t="s">
        <v>851</v>
      </c>
      <c r="O3" s="2" t="s">
        <v>852</v>
      </c>
      <c r="P3" s="2" t="s">
        <v>853</v>
      </c>
      <c r="Q3" s="2" t="s">
        <v>854</v>
      </c>
      <c r="R3" s="2" t="s">
        <v>855</v>
      </c>
      <c r="S3" s="2" t="s">
        <v>856</v>
      </c>
    </row>
    <row r="4" spans="1:19">
      <c r="A4" t="s">
        <v>39</v>
      </c>
      <c r="B4" t="s">
        <v>857</v>
      </c>
      <c r="C4" t="s">
        <v>858</v>
      </c>
      <c r="D4" t="s">
        <v>859</v>
      </c>
      <c r="E4" t="s">
        <v>860</v>
      </c>
      <c r="F4" t="s">
        <v>861</v>
      </c>
      <c r="G4" t="s">
        <v>862</v>
      </c>
      <c r="H4" t="s">
        <v>863</v>
      </c>
      <c r="I4" t="s">
        <v>864</v>
      </c>
      <c r="J4" t="s">
        <v>865</v>
      </c>
      <c r="K4" t="s">
        <v>866</v>
      </c>
      <c r="L4" t="s">
        <v>867</v>
      </c>
      <c r="M4" t="s">
        <v>868</v>
      </c>
      <c r="N4" t="s">
        <v>869</v>
      </c>
      <c r="O4" t="s">
        <v>870</v>
      </c>
      <c r="P4" t="s">
        <v>871</v>
      </c>
      <c r="Q4" t="s">
        <v>872</v>
      </c>
      <c r="R4" t="s">
        <v>873</v>
      </c>
      <c r="S4" t="s">
        <v>874</v>
      </c>
    </row>
    <row r="5" spans="1:19">
      <c r="B5">
        <v>1001</v>
      </c>
      <c r="C5" t="s">
        <v>875</v>
      </c>
      <c r="D5">
        <v>30</v>
      </c>
      <c r="E5" t="b">
        <v>0</v>
      </c>
      <c r="F5" t="b">
        <v>0</v>
      </c>
      <c r="G5" t="s">
        <v>876</v>
      </c>
      <c r="H5" t="s">
        <v>877</v>
      </c>
      <c r="I5" t="s">
        <v>878</v>
      </c>
      <c r="J5" t="s">
        <v>879</v>
      </c>
      <c r="K5" t="s">
        <v>880</v>
      </c>
      <c r="L5" t="s">
        <v>881</v>
      </c>
      <c r="M5" t="s">
        <v>882</v>
      </c>
      <c r="N5">
        <v>92005</v>
      </c>
      <c r="O5">
        <v>0</v>
      </c>
      <c r="P5">
        <v>0</v>
      </c>
      <c r="R5">
        <v>401001</v>
      </c>
    </row>
    <row r="6" spans="1:19">
      <c r="B6">
        <v>1002</v>
      </c>
      <c r="C6" t="s">
        <v>883</v>
      </c>
      <c r="D6">
        <v>10</v>
      </c>
      <c r="E6" t="b">
        <v>1</v>
      </c>
      <c r="F6" t="b">
        <v>0</v>
      </c>
      <c r="G6" t="s">
        <v>884</v>
      </c>
      <c r="H6" t="s">
        <v>885</v>
      </c>
      <c r="I6" t="s">
        <v>878</v>
      </c>
      <c r="J6" t="s">
        <v>886</v>
      </c>
      <c r="K6" t="s">
        <v>886</v>
      </c>
      <c r="L6" t="s">
        <v>881</v>
      </c>
      <c r="M6" t="s">
        <v>887</v>
      </c>
      <c r="N6">
        <v>0</v>
      </c>
      <c r="O6">
        <v>2500</v>
      </c>
      <c r="P6">
        <v>0</v>
      </c>
      <c r="R6">
        <v>401002</v>
      </c>
    </row>
    <row r="7" spans="1:19">
      <c r="B7">
        <v>1003</v>
      </c>
      <c r="C7" t="s">
        <v>888</v>
      </c>
      <c r="D7">
        <v>20</v>
      </c>
      <c r="E7" t="b">
        <v>0</v>
      </c>
      <c r="F7" t="b">
        <v>0</v>
      </c>
      <c r="G7" t="s">
        <v>889</v>
      </c>
      <c r="H7" t="s">
        <v>890</v>
      </c>
      <c r="I7" t="s">
        <v>878</v>
      </c>
      <c r="J7" t="s">
        <v>891</v>
      </c>
      <c r="K7" t="s">
        <v>892</v>
      </c>
      <c r="L7" t="s">
        <v>881</v>
      </c>
      <c r="M7" t="s">
        <v>887</v>
      </c>
      <c r="N7">
        <v>0</v>
      </c>
      <c r="O7">
        <v>2500</v>
      </c>
      <c r="P7">
        <v>0</v>
      </c>
      <c r="R7">
        <v>401003</v>
      </c>
    </row>
    <row r="8" spans="1:19">
      <c r="B8">
        <v>1004</v>
      </c>
      <c r="C8" t="s">
        <v>893</v>
      </c>
      <c r="D8">
        <v>40</v>
      </c>
      <c r="E8" t="b">
        <v>0</v>
      </c>
      <c r="F8" t="b">
        <v>0</v>
      </c>
      <c r="G8" t="s">
        <v>894</v>
      </c>
      <c r="H8" t="s">
        <v>895</v>
      </c>
      <c r="I8" t="s">
        <v>878</v>
      </c>
      <c r="J8" t="s">
        <v>896</v>
      </c>
      <c r="K8" t="s">
        <v>896</v>
      </c>
      <c r="L8" t="s">
        <v>881</v>
      </c>
      <c r="M8" t="s">
        <v>882</v>
      </c>
      <c r="N8">
        <v>91012</v>
      </c>
      <c r="O8">
        <v>0</v>
      </c>
      <c r="P8">
        <v>0</v>
      </c>
      <c r="R8">
        <v>401004</v>
      </c>
    </row>
    <row r="9" customFormat="1" spans="1:19">
      <c r="B9">
        <v>1005</v>
      </c>
      <c r="C9" t="s">
        <v>875</v>
      </c>
      <c r="D9">
        <v>60</v>
      </c>
      <c r="E9" t="b">
        <v>0</v>
      </c>
      <c r="F9" t="b">
        <v>1</v>
      </c>
      <c r="G9" t="s">
        <v>876</v>
      </c>
      <c r="H9" t="s">
        <v>877</v>
      </c>
      <c r="I9" t="s">
        <v>878</v>
      </c>
      <c r="J9" t="s">
        <v>879</v>
      </c>
      <c r="K9" t="s">
        <v>880</v>
      </c>
      <c r="L9" t="s">
        <v>881</v>
      </c>
      <c r="M9" t="s">
        <v>882</v>
      </c>
      <c r="N9">
        <v>92005</v>
      </c>
      <c r="O9">
        <v>0</v>
      </c>
      <c r="P9">
        <v>0</v>
      </c>
      <c r="R9">
        <v>501001</v>
      </c>
      <c r="S9">
        <v>601001</v>
      </c>
    </row>
    <row r="10" customFormat="1" spans="1:19">
      <c r="B10">
        <v>1006</v>
      </c>
      <c r="C10" t="s">
        <v>883</v>
      </c>
      <c r="D10">
        <v>80</v>
      </c>
      <c r="E10" t="b">
        <v>1</v>
      </c>
      <c r="F10" t="b">
        <v>1</v>
      </c>
      <c r="G10" t="s">
        <v>884</v>
      </c>
      <c r="H10" t="s">
        <v>885</v>
      </c>
      <c r="I10" t="s">
        <v>878</v>
      </c>
      <c r="J10" t="s">
        <v>886</v>
      </c>
      <c r="K10" t="s">
        <v>886</v>
      </c>
      <c r="L10" t="s">
        <v>881</v>
      </c>
      <c r="M10" t="s">
        <v>887</v>
      </c>
      <c r="N10">
        <v>0</v>
      </c>
      <c r="O10">
        <v>2500</v>
      </c>
      <c r="P10">
        <v>0</v>
      </c>
      <c r="R10">
        <v>501002</v>
      </c>
      <c r="S10">
        <v>601002</v>
      </c>
    </row>
    <row r="11" customFormat="1" spans="1:19">
      <c r="B11">
        <v>1007</v>
      </c>
      <c r="C11" t="s">
        <v>888</v>
      </c>
      <c r="D11">
        <v>100</v>
      </c>
      <c r="E11" t="b">
        <v>0</v>
      </c>
      <c r="F11" t="b">
        <v>1</v>
      </c>
      <c r="G11" t="s">
        <v>889</v>
      </c>
      <c r="H11" t="s">
        <v>890</v>
      </c>
      <c r="I11" t="s">
        <v>878</v>
      </c>
      <c r="J11" t="s">
        <v>891</v>
      </c>
      <c r="K11" t="s">
        <v>892</v>
      </c>
      <c r="L11" t="s">
        <v>881</v>
      </c>
      <c r="M11" t="s">
        <v>887</v>
      </c>
      <c r="N11">
        <v>0</v>
      </c>
      <c r="O11">
        <v>2500</v>
      </c>
      <c r="P11">
        <v>0</v>
      </c>
      <c r="R11">
        <v>501003</v>
      </c>
      <c r="S11">
        <v>601003</v>
      </c>
    </row>
    <row r="12" customFormat="1" spans="1:19">
      <c r="B12">
        <v>1008</v>
      </c>
      <c r="C12" t="s">
        <v>893</v>
      </c>
      <c r="D12">
        <v>120</v>
      </c>
      <c r="E12" t="b">
        <v>0</v>
      </c>
      <c r="F12" t="b">
        <v>1</v>
      </c>
      <c r="G12" t="s">
        <v>894</v>
      </c>
      <c r="H12" t="s">
        <v>895</v>
      </c>
      <c r="I12" t="s">
        <v>878</v>
      </c>
      <c r="J12" t="s">
        <v>896</v>
      </c>
      <c r="K12" t="s">
        <v>896</v>
      </c>
      <c r="L12" t="s">
        <v>881</v>
      </c>
      <c r="M12" t="s">
        <v>882</v>
      </c>
      <c r="N12">
        <v>91012</v>
      </c>
      <c r="O12">
        <v>0</v>
      </c>
      <c r="P12">
        <v>0</v>
      </c>
      <c r="R12">
        <v>501004</v>
      </c>
      <c r="S12">
        <v>601004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80"/>
  <sheetViews>
    <sheetView topLeftCell="A49" workbookViewId="0">
      <selection activeCell="F85" sqref="F85"/>
    </sheetView>
  </sheetViews>
  <sheetFormatPr defaultColWidth="27" defaultRowHeight="17.4"/>
  <cols>
    <col min="1" max="1" width="6.91666666666667" customWidth="1"/>
    <col min="2" max="2" width="18.4166666666667" customWidth="1"/>
    <col min="3" max="3" width="33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822</v>
      </c>
      <c r="E1" t="s">
        <v>897</v>
      </c>
      <c r="F1" t="s">
        <v>2</v>
      </c>
      <c r="G1" t="s">
        <v>898</v>
      </c>
      <c r="H1" t="s">
        <v>899</v>
      </c>
      <c r="I1" t="s">
        <v>900</v>
      </c>
      <c r="J1" t="s">
        <v>901</v>
      </c>
      <c r="K1" t="s">
        <v>902</v>
      </c>
      <c r="L1" t="s">
        <v>903</v>
      </c>
      <c r="M1" t="s">
        <v>904</v>
      </c>
      <c r="N1" t="s">
        <v>905</v>
      </c>
      <c r="O1" t="s">
        <v>906</v>
      </c>
      <c r="P1" t="s">
        <v>640</v>
      </c>
      <c r="Q1" t="s">
        <v>907</v>
      </c>
      <c r="R1" t="s">
        <v>908</v>
      </c>
    </row>
    <row r="2" spans="1:18">
      <c r="A2" t="s">
        <v>29</v>
      </c>
      <c r="B2" t="s">
        <v>30</v>
      </c>
      <c r="C2" t="s">
        <v>31</v>
      </c>
      <c r="E2" t="s">
        <v>38</v>
      </c>
      <c r="F2" t="s">
        <v>31</v>
      </c>
      <c r="G2" t="s">
        <v>31</v>
      </c>
      <c r="H2" t="s">
        <v>31</v>
      </c>
      <c r="I2" t="s">
        <v>35</v>
      </c>
      <c r="J2" t="s">
        <v>35</v>
      </c>
      <c r="K2" t="s">
        <v>35</v>
      </c>
      <c r="L2" t="s">
        <v>35</v>
      </c>
      <c r="M2" t="s">
        <v>35</v>
      </c>
      <c r="N2" t="s">
        <v>35</v>
      </c>
      <c r="O2" t="s">
        <v>31</v>
      </c>
      <c r="P2" t="s">
        <v>35</v>
      </c>
      <c r="Q2" t="s">
        <v>35</v>
      </c>
      <c r="R2" t="s">
        <v>30</v>
      </c>
    </row>
    <row r="3" s="2" customFormat="1" ht="72" customHeight="1" spans="1:18">
      <c r="A3" s="2" t="s">
        <v>39</v>
      </c>
      <c r="B3" s="2" t="s">
        <v>909</v>
      </c>
      <c r="C3" s="2" t="s">
        <v>910</v>
      </c>
      <c r="E3" s="2" t="s">
        <v>911</v>
      </c>
      <c r="F3" s="14" t="s">
        <v>912</v>
      </c>
      <c r="G3" s="2" t="s">
        <v>52</v>
      </c>
      <c r="H3" s="15" t="s">
        <v>913</v>
      </c>
      <c r="I3" s="2" t="s">
        <v>914</v>
      </c>
      <c r="J3" s="2" t="s">
        <v>915</v>
      </c>
      <c r="K3" s="2" t="s">
        <v>916</v>
      </c>
      <c r="L3" s="2" t="s">
        <v>917</v>
      </c>
      <c r="M3" s="2" t="s">
        <v>918</v>
      </c>
      <c r="N3" s="2" t="s">
        <v>919</v>
      </c>
      <c r="O3" s="2" t="s">
        <v>920</v>
      </c>
      <c r="P3" s="2" t="s">
        <v>921</v>
      </c>
      <c r="Q3" s="2" t="s">
        <v>922</v>
      </c>
      <c r="R3" s="2" t="s">
        <v>923</v>
      </c>
    </row>
    <row r="4" spans="1:18">
      <c r="A4" t="s">
        <v>39</v>
      </c>
      <c r="B4" t="s">
        <v>924</v>
      </c>
      <c r="C4" t="s">
        <v>858</v>
      </c>
      <c r="D4" t="s">
        <v>925</v>
      </c>
      <c r="E4" t="s">
        <v>926</v>
      </c>
      <c r="F4" t="s">
        <v>927</v>
      </c>
      <c r="G4" t="s">
        <v>79</v>
      </c>
      <c r="H4" t="s">
        <v>928</v>
      </c>
      <c r="I4" t="s">
        <v>929</v>
      </c>
      <c r="J4" t="s">
        <v>81</v>
      </c>
      <c r="K4" t="s">
        <v>930</v>
      </c>
      <c r="L4" t="s">
        <v>931</v>
      </c>
      <c r="M4" t="s">
        <v>932</v>
      </c>
      <c r="N4" t="s">
        <v>83</v>
      </c>
      <c r="O4" t="s">
        <v>933</v>
      </c>
      <c r="P4" t="s">
        <v>861</v>
      </c>
      <c r="Q4" t="s">
        <v>934</v>
      </c>
      <c r="R4" t="s">
        <v>935</v>
      </c>
    </row>
    <row r="5" spans="1:18">
      <c r="A5" t="s">
        <v>161</v>
      </c>
      <c r="B5">
        <v>401001</v>
      </c>
      <c r="C5" t="s">
        <v>936</v>
      </c>
      <c r="D5" t="s">
        <v>937</v>
      </c>
      <c r="E5" t="s">
        <v>96</v>
      </c>
      <c r="F5" t="s">
        <v>938</v>
      </c>
      <c r="G5" t="s">
        <v>939</v>
      </c>
      <c r="H5" t="s">
        <v>940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161</v>
      </c>
      <c r="P5" t="b">
        <v>1</v>
      </c>
      <c r="Q5" t="b">
        <v>0</v>
      </c>
      <c r="R5">
        <v>0</v>
      </c>
    </row>
    <row r="6" spans="1:18">
      <c r="A6" t="s">
        <v>161</v>
      </c>
      <c r="B6">
        <v>401002</v>
      </c>
      <c r="C6" t="s">
        <v>941</v>
      </c>
      <c r="D6" t="s">
        <v>942</v>
      </c>
      <c r="E6" t="s">
        <v>96</v>
      </c>
      <c r="F6" t="s">
        <v>943</v>
      </c>
      <c r="G6" t="s">
        <v>944</v>
      </c>
      <c r="H6" t="s">
        <v>940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161</v>
      </c>
      <c r="P6" t="b">
        <v>1</v>
      </c>
      <c r="Q6" t="b">
        <v>0</v>
      </c>
      <c r="R6">
        <v>0</v>
      </c>
    </row>
    <row r="7" spans="1:18">
      <c r="A7" t="s">
        <v>161</v>
      </c>
      <c r="B7">
        <v>401003</v>
      </c>
      <c r="C7" t="s">
        <v>945</v>
      </c>
      <c r="D7" t="s">
        <v>946</v>
      </c>
      <c r="E7" t="s">
        <v>96</v>
      </c>
      <c r="F7" t="s">
        <v>947</v>
      </c>
      <c r="G7" t="s">
        <v>948</v>
      </c>
      <c r="H7" t="s">
        <v>940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161</v>
      </c>
      <c r="P7" t="b">
        <v>1</v>
      </c>
      <c r="Q7" t="b">
        <v>0</v>
      </c>
      <c r="R7">
        <v>0</v>
      </c>
    </row>
    <row r="8" spans="1:18">
      <c r="A8" t="s">
        <v>161</v>
      </c>
      <c r="B8">
        <v>401004</v>
      </c>
      <c r="C8" t="s">
        <v>949</v>
      </c>
      <c r="D8" t="s">
        <v>950</v>
      </c>
      <c r="E8" t="s">
        <v>96</v>
      </c>
      <c r="F8" t="s">
        <v>951</v>
      </c>
      <c r="G8" t="s">
        <v>952</v>
      </c>
      <c r="H8" t="s">
        <v>940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161</v>
      </c>
      <c r="P8" t="b">
        <v>1</v>
      </c>
      <c r="Q8" t="b">
        <v>0</v>
      </c>
      <c r="R8">
        <v>0</v>
      </c>
    </row>
    <row r="9" customFormat="1" spans="1:18">
      <c r="A9" t="s">
        <v>161</v>
      </c>
      <c r="B9">
        <v>401005</v>
      </c>
      <c r="C9" t="s">
        <v>953</v>
      </c>
      <c r="D9" t="s">
        <v>954</v>
      </c>
      <c r="E9" t="s">
        <v>96</v>
      </c>
      <c r="F9" t="s">
        <v>938</v>
      </c>
      <c r="G9" t="s">
        <v>939</v>
      </c>
      <c r="H9" t="s">
        <v>940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161</v>
      </c>
      <c r="P9" t="b">
        <v>1</v>
      </c>
      <c r="Q9" t="b">
        <v>0</v>
      </c>
      <c r="R9">
        <v>0</v>
      </c>
    </row>
    <row r="10" customFormat="1" spans="1:18">
      <c r="A10" t="s">
        <v>161</v>
      </c>
      <c r="B10">
        <v>401006</v>
      </c>
      <c r="C10" t="s">
        <v>955</v>
      </c>
      <c r="D10" t="s">
        <v>956</v>
      </c>
      <c r="E10" t="s">
        <v>96</v>
      </c>
      <c r="F10" t="s">
        <v>943</v>
      </c>
      <c r="G10" t="s">
        <v>944</v>
      </c>
      <c r="H10" t="s">
        <v>940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161</v>
      </c>
      <c r="P10" t="b">
        <v>1</v>
      </c>
      <c r="Q10" t="b">
        <v>0</v>
      </c>
      <c r="R10">
        <v>0</v>
      </c>
    </row>
    <row r="11" customFormat="1" spans="1:18">
      <c r="A11" t="s">
        <v>161</v>
      </c>
      <c r="B11">
        <v>401007</v>
      </c>
      <c r="C11" t="s">
        <v>957</v>
      </c>
      <c r="D11" t="s">
        <v>958</v>
      </c>
      <c r="E11" t="s">
        <v>96</v>
      </c>
      <c r="F11" t="s">
        <v>947</v>
      </c>
      <c r="G11" t="s">
        <v>948</v>
      </c>
      <c r="H11" t="s">
        <v>940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161</v>
      </c>
      <c r="P11" t="b">
        <v>1</v>
      </c>
      <c r="Q11" t="b">
        <v>0</v>
      </c>
      <c r="R11">
        <v>0</v>
      </c>
    </row>
    <row r="12" customFormat="1" spans="1:18">
      <c r="A12" t="s">
        <v>161</v>
      </c>
      <c r="B12">
        <v>401008</v>
      </c>
      <c r="C12" t="s">
        <v>959</v>
      </c>
      <c r="D12" t="s">
        <v>960</v>
      </c>
      <c r="E12" t="s">
        <v>96</v>
      </c>
      <c r="F12" t="s">
        <v>951</v>
      </c>
      <c r="G12" t="s">
        <v>952</v>
      </c>
      <c r="H12" t="s">
        <v>940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161</v>
      </c>
      <c r="P12" t="b">
        <v>1</v>
      </c>
      <c r="Q12" t="b">
        <v>0</v>
      </c>
      <c r="R12">
        <v>0</v>
      </c>
    </row>
    <row r="13" spans="1:18">
      <c r="A13" t="s">
        <v>39</v>
      </c>
      <c r="B13" t="s">
        <v>961</v>
      </c>
    </row>
    <row r="14" spans="1:18">
      <c r="A14" t="s">
        <v>161</v>
      </c>
      <c r="B14">
        <v>402001</v>
      </c>
      <c r="C14" t="s">
        <v>962</v>
      </c>
      <c r="D14" t="s">
        <v>963</v>
      </c>
      <c r="E14" t="s">
        <v>96</v>
      </c>
      <c r="F14" t="s">
        <v>964</v>
      </c>
      <c r="G14" t="s">
        <v>965</v>
      </c>
      <c r="I14" t="b">
        <v>0</v>
      </c>
      <c r="J14" t="b">
        <v>0</v>
      </c>
      <c r="K14" t="b">
        <v>0</v>
      </c>
      <c r="L14" t="b">
        <v>1</v>
      </c>
      <c r="M14" t="b">
        <v>1</v>
      </c>
      <c r="N14" t="b">
        <v>1</v>
      </c>
      <c r="O14" t="s">
        <v>161</v>
      </c>
      <c r="P14" t="b">
        <v>1</v>
      </c>
      <c r="Q14" t="b">
        <v>0</v>
      </c>
      <c r="R14">
        <v>0</v>
      </c>
    </row>
    <row r="15" spans="1:18">
      <c r="B15">
        <v>402002</v>
      </c>
      <c r="C15" t="s">
        <v>966</v>
      </c>
      <c r="D15" t="s">
        <v>967</v>
      </c>
      <c r="E15" t="s">
        <v>96</v>
      </c>
      <c r="F15" t="s">
        <v>968</v>
      </c>
      <c r="G15" t="s">
        <v>969</v>
      </c>
      <c r="I15" t="b">
        <v>0</v>
      </c>
      <c r="J15" t="b">
        <v>0</v>
      </c>
      <c r="K15" t="b">
        <v>0</v>
      </c>
      <c r="L15" t="b">
        <v>1</v>
      </c>
      <c r="M15" t="b">
        <v>1</v>
      </c>
      <c r="N15" t="b">
        <v>1</v>
      </c>
      <c r="P15" t="b">
        <v>1</v>
      </c>
      <c r="Q15" t="b">
        <v>0</v>
      </c>
      <c r="R15">
        <v>0</v>
      </c>
    </row>
    <row r="16" spans="1:18">
      <c r="B16">
        <v>402003</v>
      </c>
      <c r="C16" t="s">
        <v>970</v>
      </c>
      <c r="D16" t="s">
        <v>971</v>
      </c>
      <c r="E16" t="s">
        <v>96</v>
      </c>
      <c r="F16" t="s">
        <v>972</v>
      </c>
      <c r="G16" t="s">
        <v>973</v>
      </c>
      <c r="I16" t="b">
        <v>0</v>
      </c>
      <c r="J16" t="b">
        <v>0</v>
      </c>
      <c r="K16" t="b">
        <v>0</v>
      </c>
      <c r="L16" t="b">
        <v>1</v>
      </c>
      <c r="M16" t="b">
        <v>1</v>
      </c>
      <c r="N16" t="b">
        <v>1</v>
      </c>
      <c r="P16" t="b">
        <v>1</v>
      </c>
      <c r="Q16" t="b">
        <v>0</v>
      </c>
      <c r="R16">
        <v>0</v>
      </c>
    </row>
    <row r="17" spans="1:18">
      <c r="A17" t="s">
        <v>39</v>
      </c>
      <c r="B17" t="s">
        <v>974</v>
      </c>
    </row>
    <row r="18" spans="1:18">
      <c r="A18" t="s">
        <v>161</v>
      </c>
      <c r="B18">
        <v>403001</v>
      </c>
      <c r="C18" t="s">
        <v>975</v>
      </c>
      <c r="D18" t="s">
        <v>976</v>
      </c>
      <c r="E18" t="s">
        <v>977</v>
      </c>
      <c r="F18" t="s">
        <v>978</v>
      </c>
      <c r="G18" t="s">
        <v>979</v>
      </c>
      <c r="H18" t="s">
        <v>161</v>
      </c>
      <c r="I18" t="b">
        <v>0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980</v>
      </c>
      <c r="P18" t="b">
        <v>1</v>
      </c>
      <c r="Q18" t="b">
        <v>0</v>
      </c>
      <c r="R18">
        <v>0</v>
      </c>
    </row>
    <row r="19" spans="1:18">
      <c r="B19">
        <v>403002</v>
      </c>
      <c r="C19" t="s">
        <v>981</v>
      </c>
      <c r="D19" t="s">
        <v>982</v>
      </c>
      <c r="E19" t="s">
        <v>977</v>
      </c>
      <c r="F19" t="s">
        <v>983</v>
      </c>
      <c r="G19" t="s">
        <v>984</v>
      </c>
      <c r="I19" t="b">
        <v>0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985</v>
      </c>
      <c r="P19" t="b">
        <v>0</v>
      </c>
      <c r="Q19" t="b">
        <v>0</v>
      </c>
      <c r="R19">
        <v>0</v>
      </c>
    </row>
    <row r="20" spans="1:18">
      <c r="B20">
        <v>403003</v>
      </c>
      <c r="C20" t="s">
        <v>986</v>
      </c>
      <c r="D20" t="s">
        <v>987</v>
      </c>
      <c r="E20" t="s">
        <v>977</v>
      </c>
      <c r="F20" t="s">
        <v>988</v>
      </c>
      <c r="G20" t="s">
        <v>989</v>
      </c>
      <c r="I20" t="b">
        <v>0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985</v>
      </c>
      <c r="P20" t="b">
        <v>0</v>
      </c>
      <c r="Q20" t="b">
        <v>0</v>
      </c>
      <c r="R20">
        <v>0</v>
      </c>
    </row>
    <row r="21" spans="1:18">
      <c r="A21" t="s">
        <v>39</v>
      </c>
      <c r="B21" t="s">
        <v>990</v>
      </c>
    </row>
    <row r="22" spans="1:18">
      <c r="B22">
        <v>404001</v>
      </c>
      <c r="C22" t="s">
        <v>991</v>
      </c>
      <c r="D22" t="s">
        <v>992</v>
      </c>
      <c r="E22" t="s">
        <v>621</v>
      </c>
      <c r="F22" t="s">
        <v>993</v>
      </c>
      <c r="G22" t="s">
        <v>994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0</v>
      </c>
      <c r="O22" t="s">
        <v>995</v>
      </c>
      <c r="P22" t="b">
        <v>1</v>
      </c>
      <c r="Q22" t="b">
        <v>1</v>
      </c>
      <c r="R22">
        <v>0</v>
      </c>
    </row>
    <row r="23" spans="1:18">
      <c r="B23">
        <v>404002</v>
      </c>
      <c r="C23" t="s">
        <v>996</v>
      </c>
      <c r="D23" t="s">
        <v>997</v>
      </c>
      <c r="E23" t="s">
        <v>621</v>
      </c>
      <c r="F23" t="s">
        <v>998</v>
      </c>
      <c r="G23" t="s">
        <v>999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0</v>
      </c>
      <c r="O23" t="s">
        <v>1000</v>
      </c>
      <c r="P23" t="b">
        <v>1</v>
      </c>
      <c r="Q23" t="b">
        <v>1</v>
      </c>
      <c r="R23">
        <v>0</v>
      </c>
    </row>
    <row r="24" spans="1:18">
      <c r="B24">
        <v>404004</v>
      </c>
      <c r="C24" t="s">
        <v>1001</v>
      </c>
      <c r="D24" t="s">
        <v>1002</v>
      </c>
      <c r="E24" t="s">
        <v>621</v>
      </c>
      <c r="F24" t="s">
        <v>1003</v>
      </c>
      <c r="G24" t="s">
        <v>1004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0</v>
      </c>
      <c r="O24" t="s">
        <v>1005</v>
      </c>
      <c r="P24" t="b">
        <v>1</v>
      </c>
      <c r="Q24" t="b">
        <v>1</v>
      </c>
      <c r="R24">
        <v>0</v>
      </c>
    </row>
    <row r="25" spans="1:18">
      <c r="B25">
        <v>404005</v>
      </c>
      <c r="C25" t="s">
        <v>1006</v>
      </c>
      <c r="D25" t="s">
        <v>1007</v>
      </c>
      <c r="E25" t="s">
        <v>621</v>
      </c>
      <c r="F25" t="s">
        <v>1008</v>
      </c>
      <c r="G25" t="s">
        <v>1009</v>
      </c>
      <c r="I25" t="b">
        <v>0</v>
      </c>
      <c r="J25" t="b">
        <v>0</v>
      </c>
      <c r="K25" t="b">
        <v>0</v>
      </c>
      <c r="L25" t="b">
        <v>1</v>
      </c>
      <c r="M25" t="b">
        <v>1</v>
      </c>
      <c r="N25" t="b">
        <v>0</v>
      </c>
      <c r="O25" t="s">
        <v>1000</v>
      </c>
      <c r="P25" t="b">
        <v>1</v>
      </c>
      <c r="Q25" t="b">
        <v>1</v>
      </c>
      <c r="R25">
        <v>0</v>
      </c>
    </row>
    <row r="26" spans="1:18">
      <c r="B26">
        <v>404007</v>
      </c>
      <c r="C26" t="s">
        <v>1010</v>
      </c>
      <c r="D26" t="s">
        <v>1011</v>
      </c>
      <c r="E26" t="s">
        <v>621</v>
      </c>
      <c r="F26" t="s">
        <v>1012</v>
      </c>
      <c r="G26" t="s">
        <v>1013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1005</v>
      </c>
      <c r="P26" t="b">
        <v>1</v>
      </c>
      <c r="Q26" t="b">
        <v>1</v>
      </c>
      <c r="R26">
        <v>0</v>
      </c>
    </row>
    <row r="27" spans="1:18">
      <c r="B27">
        <v>404008</v>
      </c>
      <c r="C27" t="s">
        <v>1014</v>
      </c>
      <c r="D27" t="s">
        <v>1015</v>
      </c>
      <c r="E27" t="s">
        <v>621</v>
      </c>
      <c r="F27" t="s">
        <v>1016</v>
      </c>
      <c r="G27" t="s">
        <v>1017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1000</v>
      </c>
      <c r="P27" t="b">
        <v>1</v>
      </c>
      <c r="Q27" t="b">
        <v>1</v>
      </c>
      <c r="R27">
        <v>0</v>
      </c>
    </row>
    <row r="28" spans="1:18">
      <c r="B28">
        <v>404010</v>
      </c>
      <c r="C28" t="s">
        <v>1018</v>
      </c>
      <c r="D28" t="s">
        <v>1019</v>
      </c>
      <c r="E28" t="s">
        <v>621</v>
      </c>
      <c r="F28" t="s">
        <v>1020</v>
      </c>
      <c r="G28" t="s">
        <v>1021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1005</v>
      </c>
      <c r="P28" t="b">
        <v>1</v>
      </c>
      <c r="Q28" t="b">
        <v>1</v>
      </c>
      <c r="R28">
        <v>0</v>
      </c>
    </row>
    <row r="29" spans="1:18">
      <c r="B29">
        <v>404011</v>
      </c>
      <c r="C29" t="s">
        <v>1022</v>
      </c>
      <c r="D29" t="s">
        <v>1023</v>
      </c>
      <c r="E29" t="s">
        <v>621</v>
      </c>
      <c r="F29" t="s">
        <v>1024</v>
      </c>
      <c r="G29" t="s">
        <v>1025</v>
      </c>
      <c r="I29" t="b">
        <v>0</v>
      </c>
      <c r="J29" t="b">
        <v>0</v>
      </c>
      <c r="K29" t="b">
        <v>0</v>
      </c>
      <c r="L29" t="b">
        <v>1</v>
      </c>
      <c r="M29" t="b">
        <v>1</v>
      </c>
      <c r="N29" t="b">
        <v>0</v>
      </c>
      <c r="O29" t="s">
        <v>1000</v>
      </c>
      <c r="P29" t="b">
        <v>1</v>
      </c>
      <c r="Q29" t="b">
        <v>1</v>
      </c>
      <c r="R29">
        <v>0</v>
      </c>
    </row>
    <row r="30" spans="1:18">
      <c r="B30">
        <v>404013</v>
      </c>
      <c r="C30" t="s">
        <v>1026</v>
      </c>
      <c r="D30" t="s">
        <v>1027</v>
      </c>
      <c r="E30" t="s">
        <v>621</v>
      </c>
      <c r="F30" t="s">
        <v>1028</v>
      </c>
      <c r="G30" t="s">
        <v>1029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1005</v>
      </c>
      <c r="P30" t="b">
        <v>1</v>
      </c>
      <c r="Q30" t="b">
        <v>1</v>
      </c>
      <c r="R30">
        <v>0</v>
      </c>
    </row>
    <row r="31" spans="1:18">
      <c r="A31" t="s">
        <v>39</v>
      </c>
      <c r="B31" t="s">
        <v>1030</v>
      </c>
    </row>
    <row r="32" spans="1:18">
      <c r="B32">
        <v>405001</v>
      </c>
      <c r="C32" t="s">
        <v>1031</v>
      </c>
      <c r="D32" t="s">
        <v>1032</v>
      </c>
      <c r="E32" t="s">
        <v>621</v>
      </c>
      <c r="F32" t="s">
        <v>1033</v>
      </c>
      <c r="G32" t="s">
        <v>1034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1005</v>
      </c>
      <c r="P32" t="b">
        <v>1</v>
      </c>
      <c r="Q32" t="b">
        <v>1</v>
      </c>
      <c r="R32">
        <v>0</v>
      </c>
    </row>
    <row r="33" spans="1:18">
      <c r="A33" t="s">
        <v>39</v>
      </c>
      <c r="B33" t="s">
        <v>1035</v>
      </c>
    </row>
    <row r="34" spans="1:18">
      <c r="B34">
        <v>406005</v>
      </c>
      <c r="C34" t="s">
        <v>1036</v>
      </c>
      <c r="D34" t="s">
        <v>1037</v>
      </c>
      <c r="E34" t="s">
        <v>906</v>
      </c>
      <c r="F34" t="s">
        <v>1038</v>
      </c>
      <c r="G34" t="s">
        <v>1039</v>
      </c>
      <c r="H34" t="s">
        <v>940</v>
      </c>
      <c r="I34" t="b">
        <v>1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1040</v>
      </c>
      <c r="P34" t="b">
        <v>1</v>
      </c>
      <c r="Q34" t="b">
        <v>0</v>
      </c>
      <c r="R34">
        <v>0</v>
      </c>
    </row>
    <row r="35" spans="1:18">
      <c r="B35">
        <v>406006</v>
      </c>
      <c r="C35" t="s">
        <v>1041</v>
      </c>
      <c r="D35" t="s">
        <v>1042</v>
      </c>
      <c r="E35" t="s">
        <v>906</v>
      </c>
      <c r="F35" t="s">
        <v>1043</v>
      </c>
      <c r="G35" t="s">
        <v>1044</v>
      </c>
      <c r="H35" t="s">
        <v>940</v>
      </c>
      <c r="I35" t="b">
        <v>1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1045</v>
      </c>
      <c r="P35" t="b">
        <v>1</v>
      </c>
      <c r="Q35" t="b">
        <v>0</v>
      </c>
      <c r="R35">
        <v>0</v>
      </c>
    </row>
    <row r="36" spans="1:18">
      <c r="B36">
        <v>406007</v>
      </c>
      <c r="C36" t="s">
        <v>1046</v>
      </c>
      <c r="D36" t="s">
        <v>1047</v>
      </c>
      <c r="E36" t="s">
        <v>906</v>
      </c>
      <c r="F36" t="s">
        <v>1048</v>
      </c>
      <c r="G36" t="s">
        <v>1049</v>
      </c>
      <c r="H36" t="s">
        <v>940</v>
      </c>
      <c r="I36" t="b">
        <v>1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1050</v>
      </c>
      <c r="P36" t="b">
        <v>1</v>
      </c>
      <c r="Q36" t="b">
        <v>0</v>
      </c>
      <c r="R36">
        <v>0</v>
      </c>
    </row>
    <row r="37" spans="1:18">
      <c r="B37">
        <v>406008</v>
      </c>
      <c r="C37" t="s">
        <v>1051</v>
      </c>
      <c r="D37" t="s">
        <v>1052</v>
      </c>
      <c r="E37" t="s">
        <v>906</v>
      </c>
      <c r="F37" t="s">
        <v>1053</v>
      </c>
      <c r="G37" t="s">
        <v>1054</v>
      </c>
      <c r="H37" t="s">
        <v>940</v>
      </c>
      <c r="I37" t="b">
        <v>1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1055</v>
      </c>
      <c r="P37" t="b">
        <v>1</v>
      </c>
      <c r="Q37" t="b">
        <v>0</v>
      </c>
      <c r="R37">
        <v>0</v>
      </c>
    </row>
    <row r="38" spans="1:18">
      <c r="A38" t="s">
        <v>39</v>
      </c>
    </row>
    <row r="39" spans="1:18">
      <c r="A39" t="s">
        <v>39</v>
      </c>
      <c r="B39" t="s">
        <v>1056</v>
      </c>
      <c r="C39" t="s">
        <v>161</v>
      </c>
      <c r="D39" t="s">
        <v>161</v>
      </c>
      <c r="E39" t="s">
        <v>161</v>
      </c>
      <c r="F39" t="s">
        <v>161</v>
      </c>
      <c r="G39" t="s">
        <v>161</v>
      </c>
      <c r="H39" t="s">
        <v>161</v>
      </c>
      <c r="I39" t="s">
        <v>161</v>
      </c>
      <c r="J39" t="s">
        <v>161</v>
      </c>
      <c r="K39" t="s">
        <v>161</v>
      </c>
      <c r="L39" t="s">
        <v>161</v>
      </c>
      <c r="M39" t="s">
        <v>161</v>
      </c>
      <c r="N39" t="s">
        <v>161</v>
      </c>
      <c r="O39" t="s">
        <v>161</v>
      </c>
      <c r="P39" t="s">
        <v>161</v>
      </c>
      <c r="Q39" t="s">
        <v>161</v>
      </c>
      <c r="R39" t="s">
        <v>161</v>
      </c>
    </row>
    <row r="40" spans="1:18">
      <c r="A40" t="s">
        <v>161</v>
      </c>
      <c r="B40">
        <v>201001</v>
      </c>
      <c r="C40" t="s">
        <v>1057</v>
      </c>
      <c r="D40" t="s">
        <v>967</v>
      </c>
      <c r="E40" t="s">
        <v>96</v>
      </c>
      <c r="F40" t="s">
        <v>968</v>
      </c>
      <c r="G40" t="s">
        <v>969</v>
      </c>
      <c r="H40" t="s">
        <v>161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1</v>
      </c>
      <c r="O40" t="s">
        <v>161</v>
      </c>
      <c r="P40" t="b">
        <v>1</v>
      </c>
      <c r="Q40" t="b">
        <v>0</v>
      </c>
      <c r="R40">
        <v>0</v>
      </c>
    </row>
    <row r="41" spans="1:18">
      <c r="A41" t="s">
        <v>161</v>
      </c>
      <c r="B41">
        <v>201002</v>
      </c>
      <c r="C41" t="s">
        <v>1058</v>
      </c>
      <c r="D41" t="s">
        <v>971</v>
      </c>
      <c r="E41" t="s">
        <v>96</v>
      </c>
      <c r="F41" t="s">
        <v>972</v>
      </c>
      <c r="G41" t="s">
        <v>973</v>
      </c>
      <c r="H41" t="s">
        <v>161</v>
      </c>
      <c r="I41" t="b">
        <v>0</v>
      </c>
      <c r="J41" t="b">
        <v>0</v>
      </c>
      <c r="K41" t="b">
        <v>0</v>
      </c>
      <c r="L41" t="b">
        <v>1</v>
      </c>
      <c r="M41" t="b">
        <v>1</v>
      </c>
      <c r="N41" t="b">
        <v>1</v>
      </c>
      <c r="O41" t="s">
        <v>161</v>
      </c>
      <c r="P41" t="b">
        <v>1</v>
      </c>
      <c r="Q41" t="b">
        <v>0</v>
      </c>
      <c r="R41">
        <v>0</v>
      </c>
    </row>
    <row r="42" spans="1:18">
      <c r="A42" t="s">
        <v>161</v>
      </c>
      <c r="B42">
        <v>204001</v>
      </c>
      <c r="C42" t="s">
        <v>1059</v>
      </c>
      <c r="D42" t="s">
        <v>963</v>
      </c>
      <c r="E42" t="s">
        <v>96</v>
      </c>
      <c r="F42" t="s">
        <v>964</v>
      </c>
      <c r="G42" t="s">
        <v>965</v>
      </c>
      <c r="H42" t="s">
        <v>161</v>
      </c>
      <c r="I42" t="b">
        <v>0</v>
      </c>
      <c r="J42" t="b">
        <v>0</v>
      </c>
      <c r="K42" t="b">
        <v>0</v>
      </c>
      <c r="L42" t="b">
        <v>1</v>
      </c>
      <c r="M42" t="b">
        <v>1</v>
      </c>
      <c r="N42" t="b">
        <v>1</v>
      </c>
      <c r="O42" t="s">
        <v>161</v>
      </c>
      <c r="P42" t="b">
        <v>1</v>
      </c>
      <c r="Q42" t="b">
        <v>0</v>
      </c>
      <c r="R42">
        <v>0</v>
      </c>
    </row>
    <row r="43" spans="1:18">
      <c r="A43" t="s">
        <v>39</v>
      </c>
      <c r="B43" t="s">
        <v>1060</v>
      </c>
      <c r="C43" t="s">
        <v>161</v>
      </c>
      <c r="D43" t="s">
        <v>161</v>
      </c>
      <c r="E43" t="s">
        <v>161</v>
      </c>
      <c r="F43" t="s">
        <v>161</v>
      </c>
      <c r="G43" t="s">
        <v>161</v>
      </c>
      <c r="H43" t="s">
        <v>161</v>
      </c>
      <c r="I43" t="s">
        <v>161</v>
      </c>
      <c r="J43" t="s">
        <v>161</v>
      </c>
      <c r="K43" t="s">
        <v>161</v>
      </c>
      <c r="L43" t="s">
        <v>161</v>
      </c>
      <c r="M43" t="s">
        <v>161</v>
      </c>
      <c r="N43" t="s">
        <v>161</v>
      </c>
      <c r="O43" t="s">
        <v>161</v>
      </c>
      <c r="P43" t="s">
        <v>161</v>
      </c>
      <c r="Q43" t="s">
        <v>161</v>
      </c>
      <c r="R43" t="s">
        <v>161</v>
      </c>
    </row>
    <row r="44" spans="1:18">
      <c r="A44" t="s">
        <v>161</v>
      </c>
      <c r="B44">
        <v>301001</v>
      </c>
      <c r="C44" t="s">
        <v>1061</v>
      </c>
      <c r="D44" t="s">
        <v>982</v>
      </c>
      <c r="E44" t="s">
        <v>977</v>
      </c>
      <c r="F44" t="s">
        <v>983</v>
      </c>
      <c r="G44" t="s">
        <v>984</v>
      </c>
      <c r="H44" t="s">
        <v>161</v>
      </c>
      <c r="I44" t="b">
        <v>0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985</v>
      </c>
      <c r="P44" t="b">
        <v>1</v>
      </c>
      <c r="Q44" t="b">
        <v>0</v>
      </c>
      <c r="R44">
        <v>0</v>
      </c>
    </row>
    <row r="45" spans="1:18">
      <c r="A45" t="s">
        <v>161</v>
      </c>
      <c r="B45">
        <v>301002</v>
      </c>
      <c r="C45" t="s">
        <v>1062</v>
      </c>
      <c r="D45" t="s">
        <v>987</v>
      </c>
      <c r="E45" t="s">
        <v>977</v>
      </c>
      <c r="F45" t="s">
        <v>988</v>
      </c>
      <c r="G45" t="s">
        <v>989</v>
      </c>
      <c r="H45" t="s">
        <v>161</v>
      </c>
      <c r="I45" t="b">
        <v>0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985</v>
      </c>
      <c r="P45" t="b">
        <v>1</v>
      </c>
      <c r="Q45" t="b">
        <v>0</v>
      </c>
      <c r="R45">
        <v>0</v>
      </c>
    </row>
    <row r="46" spans="1:18">
      <c r="A46" t="s">
        <v>39</v>
      </c>
      <c r="B46" t="s">
        <v>1063</v>
      </c>
    </row>
    <row r="47" spans="1:18">
      <c r="B47">
        <v>500005</v>
      </c>
      <c r="C47" t="s">
        <v>1064</v>
      </c>
      <c r="D47" t="s">
        <v>1065</v>
      </c>
      <c r="E47" t="s">
        <v>96</v>
      </c>
      <c r="F47" t="s">
        <v>1066</v>
      </c>
      <c r="G47" t="s">
        <v>1067</v>
      </c>
      <c r="H47" t="s">
        <v>940</v>
      </c>
      <c r="I47" t="b">
        <v>1</v>
      </c>
      <c r="J47" t="b">
        <v>0</v>
      </c>
      <c r="K47" t="b">
        <v>0</v>
      </c>
      <c r="L47" t="b">
        <v>1</v>
      </c>
      <c r="M47" t="b">
        <v>1</v>
      </c>
      <c r="N47" t="b">
        <v>0</v>
      </c>
      <c r="O47" t="s">
        <v>161</v>
      </c>
      <c r="P47" t="b">
        <v>1</v>
      </c>
      <c r="Q47" t="b">
        <v>0</v>
      </c>
      <c r="R47">
        <v>0</v>
      </c>
    </row>
    <row r="48" spans="1:18">
      <c r="B48">
        <v>500012</v>
      </c>
      <c r="C48" t="s">
        <v>1068</v>
      </c>
      <c r="D48" t="s">
        <v>1069</v>
      </c>
      <c r="E48" t="s">
        <v>96</v>
      </c>
      <c r="F48" t="s">
        <v>1070</v>
      </c>
      <c r="G48" t="s">
        <v>1071</v>
      </c>
      <c r="H48" t="s">
        <v>940</v>
      </c>
      <c r="I48" t="b">
        <v>1</v>
      </c>
      <c r="J48" t="b">
        <v>0</v>
      </c>
      <c r="K48" t="b">
        <v>0</v>
      </c>
      <c r="L48" t="b">
        <v>1</v>
      </c>
      <c r="M48" t="b">
        <v>1</v>
      </c>
      <c r="N48" t="b">
        <v>0</v>
      </c>
      <c r="O48" t="s">
        <v>161</v>
      </c>
      <c r="P48" t="b">
        <v>1</v>
      </c>
      <c r="Q48" t="b">
        <v>0</v>
      </c>
      <c r="R48">
        <v>0</v>
      </c>
    </row>
    <row r="49" spans="1:18">
      <c r="A49" t="s">
        <v>39</v>
      </c>
      <c r="B49" t="s">
        <v>1072</v>
      </c>
      <c r="C49" t="s">
        <v>161</v>
      </c>
      <c r="D49" t="s">
        <v>161</v>
      </c>
      <c r="E49" t="s">
        <v>161</v>
      </c>
      <c r="F49" t="s">
        <v>161</v>
      </c>
      <c r="G49" t="s">
        <v>161</v>
      </c>
      <c r="H49" t="s">
        <v>161</v>
      </c>
      <c r="I49" t="s">
        <v>161</v>
      </c>
      <c r="J49" t="s">
        <v>161</v>
      </c>
      <c r="K49" t="s">
        <v>161</v>
      </c>
      <c r="L49" t="s">
        <v>161</v>
      </c>
      <c r="M49" t="s">
        <v>161</v>
      </c>
      <c r="N49" t="s">
        <v>161</v>
      </c>
      <c r="O49" t="s">
        <v>161</v>
      </c>
      <c r="P49" t="s">
        <v>161</v>
      </c>
      <c r="Q49" t="s">
        <v>161</v>
      </c>
      <c r="R49" t="s">
        <v>161</v>
      </c>
    </row>
    <row r="50" spans="1:18">
      <c r="A50" t="s">
        <v>161</v>
      </c>
      <c r="B50">
        <v>501001</v>
      </c>
      <c r="C50" t="s">
        <v>1073</v>
      </c>
      <c r="D50" t="s">
        <v>1074</v>
      </c>
      <c r="E50" t="s">
        <v>96</v>
      </c>
      <c r="F50" t="s">
        <v>938</v>
      </c>
      <c r="G50" t="s">
        <v>939</v>
      </c>
      <c r="H50" t="s">
        <v>940</v>
      </c>
      <c r="I50" t="b">
        <v>1</v>
      </c>
      <c r="J50" t="b">
        <v>0</v>
      </c>
      <c r="K50" t="b">
        <v>0</v>
      </c>
      <c r="L50" t="b">
        <v>1</v>
      </c>
      <c r="M50" t="b">
        <v>1</v>
      </c>
      <c r="N50" t="b">
        <v>0</v>
      </c>
      <c r="O50" t="s">
        <v>161</v>
      </c>
      <c r="P50" t="b">
        <v>1</v>
      </c>
      <c r="Q50" t="b">
        <v>0</v>
      </c>
      <c r="R50">
        <v>0</v>
      </c>
    </row>
    <row r="51" spans="1:18">
      <c r="A51" t="s">
        <v>161</v>
      </c>
      <c r="B51">
        <v>501002</v>
      </c>
      <c r="C51" t="s">
        <v>1075</v>
      </c>
      <c r="D51" t="s">
        <v>1076</v>
      </c>
      <c r="E51" t="s">
        <v>96</v>
      </c>
      <c r="F51" t="s">
        <v>943</v>
      </c>
      <c r="G51" t="s">
        <v>944</v>
      </c>
      <c r="H51" t="s">
        <v>940</v>
      </c>
      <c r="I51" t="b">
        <v>1</v>
      </c>
      <c r="J51" t="b">
        <v>0</v>
      </c>
      <c r="K51" t="b">
        <v>0</v>
      </c>
      <c r="L51" t="b">
        <v>1</v>
      </c>
      <c r="M51" t="b">
        <v>1</v>
      </c>
      <c r="N51" t="b">
        <v>0</v>
      </c>
      <c r="O51" t="s">
        <v>161</v>
      </c>
      <c r="P51" t="b">
        <v>1</v>
      </c>
      <c r="Q51" t="b">
        <v>0</v>
      </c>
      <c r="R51">
        <v>0</v>
      </c>
    </row>
    <row r="52" spans="1:18">
      <c r="A52" t="s">
        <v>161</v>
      </c>
      <c r="B52">
        <v>501003</v>
      </c>
      <c r="C52" t="s">
        <v>1077</v>
      </c>
      <c r="D52" t="s">
        <v>1078</v>
      </c>
      <c r="E52" t="s">
        <v>96</v>
      </c>
      <c r="F52" t="s">
        <v>947</v>
      </c>
      <c r="G52" t="s">
        <v>948</v>
      </c>
      <c r="H52" t="s">
        <v>940</v>
      </c>
      <c r="I52" t="b">
        <v>1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161</v>
      </c>
      <c r="P52" t="b">
        <v>1</v>
      </c>
      <c r="Q52" t="b">
        <v>0</v>
      </c>
      <c r="R52">
        <v>0</v>
      </c>
    </row>
    <row r="53" spans="1:18">
      <c r="A53" t="s">
        <v>161</v>
      </c>
      <c r="B53">
        <v>501004</v>
      </c>
      <c r="C53" t="s">
        <v>1079</v>
      </c>
      <c r="D53" t="s">
        <v>1080</v>
      </c>
      <c r="E53" t="s">
        <v>96</v>
      </c>
      <c r="F53" t="s">
        <v>951</v>
      </c>
      <c r="G53" t="s">
        <v>952</v>
      </c>
      <c r="H53" t="s">
        <v>940</v>
      </c>
      <c r="I53" t="b">
        <v>1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161</v>
      </c>
      <c r="P53" t="b">
        <v>1</v>
      </c>
      <c r="Q53" t="b">
        <v>0</v>
      </c>
      <c r="R53">
        <v>0</v>
      </c>
    </row>
    <row r="54" spans="1:18">
      <c r="A54" t="s">
        <v>39</v>
      </c>
      <c r="B54" t="s">
        <v>1081</v>
      </c>
      <c r="C54" t="s">
        <v>161</v>
      </c>
      <c r="D54" t="s">
        <v>161</v>
      </c>
      <c r="E54" t="s">
        <v>161</v>
      </c>
      <c r="F54" t="s">
        <v>161</v>
      </c>
      <c r="G54" t="s">
        <v>161</v>
      </c>
      <c r="H54" t="s">
        <v>161</v>
      </c>
      <c r="I54" t="s">
        <v>161</v>
      </c>
      <c r="J54" t="s">
        <v>161</v>
      </c>
      <c r="K54" t="s">
        <v>161</v>
      </c>
      <c r="L54" t="s">
        <v>161</v>
      </c>
      <c r="M54" t="s">
        <v>161</v>
      </c>
      <c r="N54" t="s">
        <v>161</v>
      </c>
      <c r="O54" t="s">
        <v>161</v>
      </c>
      <c r="P54" t="s">
        <v>161</v>
      </c>
      <c r="Q54" t="s">
        <v>161</v>
      </c>
      <c r="R54" t="s">
        <v>161</v>
      </c>
    </row>
    <row r="55" spans="1:18">
      <c r="A55" t="s">
        <v>161</v>
      </c>
      <c r="B55">
        <v>601001</v>
      </c>
      <c r="C55" t="s">
        <v>1082</v>
      </c>
      <c r="D55" t="s">
        <v>1037</v>
      </c>
      <c r="E55" t="s">
        <v>906</v>
      </c>
      <c r="F55" t="s">
        <v>1038</v>
      </c>
      <c r="G55" t="s">
        <v>1039</v>
      </c>
      <c r="H55" t="s">
        <v>940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1083</v>
      </c>
      <c r="P55" t="b">
        <v>1</v>
      </c>
      <c r="Q55" t="b">
        <v>0</v>
      </c>
      <c r="R55">
        <v>0</v>
      </c>
    </row>
    <row r="56" spans="1:18">
      <c r="A56" t="s">
        <v>161</v>
      </c>
      <c r="B56">
        <v>601002</v>
      </c>
      <c r="C56" t="s">
        <v>1084</v>
      </c>
      <c r="D56" t="s">
        <v>1042</v>
      </c>
      <c r="E56" t="s">
        <v>906</v>
      </c>
      <c r="F56" t="s">
        <v>1043</v>
      </c>
      <c r="G56" t="s">
        <v>1044</v>
      </c>
      <c r="H56" t="s">
        <v>940</v>
      </c>
      <c r="I56" t="b">
        <v>1</v>
      </c>
      <c r="J56" t="b">
        <v>0</v>
      </c>
      <c r="K56" t="b">
        <v>0</v>
      </c>
      <c r="L56" t="b">
        <v>1</v>
      </c>
      <c r="M56" t="b">
        <v>1</v>
      </c>
      <c r="N56" t="b">
        <v>0</v>
      </c>
      <c r="O56" t="s">
        <v>1085</v>
      </c>
      <c r="P56" t="b">
        <v>1</v>
      </c>
      <c r="Q56" t="b">
        <v>0</v>
      </c>
      <c r="R56">
        <v>0</v>
      </c>
    </row>
    <row r="57" spans="1:18">
      <c r="A57" t="s">
        <v>161</v>
      </c>
      <c r="B57">
        <v>601003</v>
      </c>
      <c r="C57" t="s">
        <v>1086</v>
      </c>
      <c r="D57" t="s">
        <v>1047</v>
      </c>
      <c r="E57" t="s">
        <v>906</v>
      </c>
      <c r="F57" t="s">
        <v>1048</v>
      </c>
      <c r="G57" t="s">
        <v>1049</v>
      </c>
      <c r="H57" t="s">
        <v>940</v>
      </c>
      <c r="I57" t="b">
        <v>1</v>
      </c>
      <c r="J57" t="b">
        <v>0</v>
      </c>
      <c r="K57" t="b">
        <v>0</v>
      </c>
      <c r="L57" t="b">
        <v>1</v>
      </c>
      <c r="M57" t="b">
        <v>1</v>
      </c>
      <c r="N57" t="b">
        <v>0</v>
      </c>
      <c r="O57" t="s">
        <v>1087</v>
      </c>
      <c r="P57" t="b">
        <v>1</v>
      </c>
      <c r="Q57" t="b">
        <v>0</v>
      </c>
      <c r="R57">
        <v>0</v>
      </c>
    </row>
    <row r="58" spans="1:18">
      <c r="A58" t="s">
        <v>161</v>
      </c>
      <c r="B58">
        <v>601004</v>
      </c>
      <c r="C58" t="s">
        <v>1088</v>
      </c>
      <c r="D58" t="s">
        <v>1052</v>
      </c>
      <c r="E58" t="s">
        <v>906</v>
      </c>
      <c r="F58" t="s">
        <v>1053</v>
      </c>
      <c r="G58" t="s">
        <v>1054</v>
      </c>
      <c r="H58" t="s">
        <v>940</v>
      </c>
      <c r="I58" t="b">
        <v>1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1089</v>
      </c>
      <c r="P58" t="b">
        <v>1</v>
      </c>
      <c r="Q58" t="b">
        <v>0</v>
      </c>
      <c r="R58">
        <v>0</v>
      </c>
    </row>
    <row r="59" spans="1:18">
      <c r="A59" t="s">
        <v>39</v>
      </c>
      <c r="B59" t="s">
        <v>1090</v>
      </c>
      <c r="C59" t="s">
        <v>161</v>
      </c>
      <c r="D59" t="s">
        <v>161</v>
      </c>
      <c r="E59" t="s">
        <v>161</v>
      </c>
      <c r="F59" t="s">
        <v>161</v>
      </c>
      <c r="G59" t="s">
        <v>161</v>
      </c>
      <c r="H59" t="s">
        <v>161</v>
      </c>
      <c r="I59" t="s">
        <v>161</v>
      </c>
      <c r="J59" t="s">
        <v>161</v>
      </c>
      <c r="K59" t="s">
        <v>161</v>
      </c>
      <c r="L59" t="s">
        <v>161</v>
      </c>
      <c r="M59" t="s">
        <v>161</v>
      </c>
      <c r="N59" t="s">
        <v>161</v>
      </c>
      <c r="O59" t="s">
        <v>161</v>
      </c>
      <c r="P59" t="s">
        <v>161</v>
      </c>
      <c r="Q59" t="s">
        <v>161</v>
      </c>
      <c r="R59" t="s">
        <v>161</v>
      </c>
    </row>
    <row r="60" spans="1:18">
      <c r="A60" t="s">
        <v>161</v>
      </c>
      <c r="B60">
        <v>700001</v>
      </c>
      <c r="C60" t="s">
        <v>1091</v>
      </c>
      <c r="D60" t="s">
        <v>1092</v>
      </c>
      <c r="E60" t="s">
        <v>621</v>
      </c>
      <c r="F60" t="s">
        <v>1093</v>
      </c>
      <c r="G60" t="s">
        <v>1094</v>
      </c>
      <c r="H60" t="s">
        <v>161</v>
      </c>
      <c r="I60" t="b">
        <v>0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1095</v>
      </c>
      <c r="P60" t="b">
        <v>1</v>
      </c>
      <c r="Q60" t="b">
        <v>1</v>
      </c>
      <c r="R60">
        <v>0</v>
      </c>
    </row>
    <row r="61" spans="1:18">
      <c r="A61" t="s">
        <v>161</v>
      </c>
      <c r="B61">
        <v>700002</v>
      </c>
      <c r="C61" t="s">
        <v>1096</v>
      </c>
      <c r="D61" t="s">
        <v>1097</v>
      </c>
      <c r="E61" t="s">
        <v>621</v>
      </c>
      <c r="F61" t="s">
        <v>1098</v>
      </c>
      <c r="G61" t="s">
        <v>1099</v>
      </c>
      <c r="H61" t="s">
        <v>161</v>
      </c>
      <c r="I61" t="b">
        <v>0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1100</v>
      </c>
      <c r="P61" t="b">
        <v>1</v>
      </c>
      <c r="Q61" t="b">
        <v>1</v>
      </c>
      <c r="R61">
        <v>0</v>
      </c>
    </row>
    <row r="62" spans="1:18">
      <c r="A62" t="s">
        <v>161</v>
      </c>
      <c r="B62">
        <v>700004</v>
      </c>
      <c r="C62" t="s">
        <v>1101</v>
      </c>
      <c r="D62" t="s">
        <v>1102</v>
      </c>
      <c r="E62" t="s">
        <v>621</v>
      </c>
      <c r="F62" t="s">
        <v>1103</v>
      </c>
      <c r="G62" t="s">
        <v>1104</v>
      </c>
      <c r="H62" t="s">
        <v>161</v>
      </c>
      <c r="I62" t="b">
        <v>0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1105</v>
      </c>
      <c r="P62" t="b">
        <v>1</v>
      </c>
      <c r="Q62" t="b">
        <v>1</v>
      </c>
      <c r="R62">
        <v>0</v>
      </c>
    </row>
    <row r="63" spans="1:18">
      <c r="A63" t="s">
        <v>161</v>
      </c>
      <c r="B63">
        <v>700005</v>
      </c>
      <c r="C63" t="s">
        <v>1106</v>
      </c>
      <c r="D63" t="s">
        <v>1107</v>
      </c>
      <c r="E63" t="s">
        <v>621</v>
      </c>
      <c r="F63" t="s">
        <v>1108</v>
      </c>
      <c r="G63" t="s">
        <v>1109</v>
      </c>
      <c r="H63" t="s">
        <v>161</v>
      </c>
      <c r="I63" t="b">
        <v>0</v>
      </c>
      <c r="J63" t="b">
        <v>0</v>
      </c>
      <c r="K63" t="b">
        <v>0</v>
      </c>
      <c r="L63" t="b">
        <v>1</v>
      </c>
      <c r="M63" t="b">
        <v>1</v>
      </c>
      <c r="N63" t="b">
        <v>0</v>
      </c>
      <c r="O63" t="s">
        <v>1100</v>
      </c>
      <c r="P63" t="b">
        <v>1</v>
      </c>
      <c r="Q63" t="b">
        <v>1</v>
      </c>
      <c r="R63">
        <v>0</v>
      </c>
    </row>
    <row r="64" spans="1:18">
      <c r="A64" t="s">
        <v>161</v>
      </c>
      <c r="B64">
        <v>700007</v>
      </c>
      <c r="C64" t="s">
        <v>1110</v>
      </c>
      <c r="D64" t="s">
        <v>1111</v>
      </c>
      <c r="E64" t="s">
        <v>621</v>
      </c>
      <c r="F64" t="s">
        <v>1112</v>
      </c>
      <c r="G64" t="s">
        <v>1113</v>
      </c>
      <c r="H64" t="s">
        <v>161</v>
      </c>
      <c r="I64" t="b">
        <v>0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1105</v>
      </c>
      <c r="P64" t="b">
        <v>1</v>
      </c>
      <c r="Q64" t="b">
        <v>1</v>
      </c>
      <c r="R64">
        <v>0</v>
      </c>
    </row>
    <row r="65" spans="1:18">
      <c r="A65" t="s">
        <v>161</v>
      </c>
      <c r="B65">
        <v>700008</v>
      </c>
      <c r="C65" t="s">
        <v>1114</v>
      </c>
      <c r="D65" t="s">
        <v>1115</v>
      </c>
      <c r="E65" t="s">
        <v>621</v>
      </c>
      <c r="F65" t="s">
        <v>1116</v>
      </c>
      <c r="G65" t="s">
        <v>1117</v>
      </c>
      <c r="H65" t="s">
        <v>161</v>
      </c>
      <c r="I65" t="b">
        <v>0</v>
      </c>
      <c r="J65" t="b">
        <v>0</v>
      </c>
      <c r="K65" t="b">
        <v>0</v>
      </c>
      <c r="L65" t="b">
        <v>1</v>
      </c>
      <c r="M65" t="b">
        <v>1</v>
      </c>
      <c r="N65" t="b">
        <v>0</v>
      </c>
      <c r="O65" t="s">
        <v>1100</v>
      </c>
      <c r="P65" t="b">
        <v>1</v>
      </c>
      <c r="Q65" t="b">
        <v>1</v>
      </c>
      <c r="R65">
        <v>0</v>
      </c>
    </row>
    <row r="66" spans="1:18">
      <c r="A66" t="s">
        <v>161</v>
      </c>
      <c r="B66">
        <v>700010</v>
      </c>
      <c r="C66" t="s">
        <v>1118</v>
      </c>
      <c r="D66" t="s">
        <v>1119</v>
      </c>
      <c r="E66" t="s">
        <v>621</v>
      </c>
      <c r="F66" t="s">
        <v>1120</v>
      </c>
      <c r="G66" t="s">
        <v>1121</v>
      </c>
      <c r="H66" t="s">
        <v>161</v>
      </c>
      <c r="I66" t="b">
        <v>0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1105</v>
      </c>
      <c r="P66" t="b">
        <v>1</v>
      </c>
      <c r="Q66" t="b">
        <v>1</v>
      </c>
      <c r="R66">
        <v>0</v>
      </c>
    </row>
    <row r="67" spans="1:18">
      <c r="A67" t="s">
        <v>161</v>
      </c>
      <c r="B67">
        <v>700011</v>
      </c>
      <c r="C67" t="s">
        <v>1122</v>
      </c>
      <c r="D67" t="s">
        <v>1123</v>
      </c>
      <c r="E67" t="s">
        <v>621</v>
      </c>
      <c r="F67" t="s">
        <v>1124</v>
      </c>
      <c r="G67" t="s">
        <v>1125</v>
      </c>
      <c r="H67" t="s">
        <v>161</v>
      </c>
      <c r="I67" t="b">
        <v>0</v>
      </c>
      <c r="J67" t="b">
        <v>0</v>
      </c>
      <c r="K67" t="b">
        <v>0</v>
      </c>
      <c r="L67" t="b">
        <v>1</v>
      </c>
      <c r="M67" t="b">
        <v>1</v>
      </c>
      <c r="N67" t="b">
        <v>0</v>
      </c>
      <c r="O67" t="s">
        <v>1100</v>
      </c>
      <c r="P67" t="b">
        <v>1</v>
      </c>
      <c r="Q67" t="b">
        <v>1</v>
      </c>
      <c r="R67">
        <v>0</v>
      </c>
    </row>
    <row r="68" spans="1:18">
      <c r="A68" t="s">
        <v>39</v>
      </c>
      <c r="B68" t="s">
        <v>1126</v>
      </c>
    </row>
    <row r="69" spans="1:18">
      <c r="B69">
        <v>700101</v>
      </c>
      <c r="C69" t="s">
        <v>1127</v>
      </c>
      <c r="D69" t="s">
        <v>1128</v>
      </c>
      <c r="E69" t="s">
        <v>621</v>
      </c>
      <c r="F69" t="s">
        <v>1129</v>
      </c>
      <c r="G69" t="s">
        <v>1130</v>
      </c>
      <c r="H69" t="s">
        <v>161</v>
      </c>
      <c r="I69" t="b">
        <v>0</v>
      </c>
      <c r="J69" t="b">
        <v>0</v>
      </c>
      <c r="K69" t="b">
        <v>0</v>
      </c>
      <c r="L69" t="b">
        <v>1</v>
      </c>
      <c r="M69" t="b">
        <v>1</v>
      </c>
      <c r="N69" t="b">
        <v>0</v>
      </c>
      <c r="O69" t="s">
        <v>1131</v>
      </c>
      <c r="P69" t="b">
        <v>1</v>
      </c>
      <c r="Q69" t="b">
        <v>0</v>
      </c>
      <c r="R69">
        <v>0</v>
      </c>
    </row>
    <row r="70" spans="1:18">
      <c r="B70">
        <v>700102</v>
      </c>
      <c r="C70" t="s">
        <v>1132</v>
      </c>
      <c r="D70" t="s">
        <v>1133</v>
      </c>
      <c r="E70" t="s">
        <v>621</v>
      </c>
      <c r="F70" t="s">
        <v>1134</v>
      </c>
      <c r="G70" t="s">
        <v>1135</v>
      </c>
      <c r="H70" t="s">
        <v>161</v>
      </c>
      <c r="I70" t="b">
        <v>0</v>
      </c>
      <c r="J70" t="b">
        <v>0</v>
      </c>
      <c r="K70" t="b">
        <v>0</v>
      </c>
      <c r="L70" t="b">
        <v>1</v>
      </c>
      <c r="M70" t="b">
        <v>1</v>
      </c>
      <c r="N70" t="b">
        <v>0</v>
      </c>
      <c r="O70" t="s">
        <v>1136</v>
      </c>
      <c r="P70" t="b">
        <v>1</v>
      </c>
      <c r="Q70" t="b">
        <v>0</v>
      </c>
      <c r="R70">
        <v>0</v>
      </c>
    </row>
    <row r="71" spans="1:18">
      <c r="B71">
        <v>700104</v>
      </c>
      <c r="C71" t="s">
        <v>1137</v>
      </c>
      <c r="D71" t="s">
        <v>1138</v>
      </c>
      <c r="E71" t="s">
        <v>621</v>
      </c>
      <c r="F71" t="s">
        <v>1139</v>
      </c>
      <c r="G71" t="s">
        <v>1140</v>
      </c>
      <c r="H71" t="s">
        <v>161</v>
      </c>
      <c r="I71" t="b">
        <v>0</v>
      </c>
      <c r="J71" t="b">
        <v>0</v>
      </c>
      <c r="K71" t="b">
        <v>0</v>
      </c>
      <c r="L71" t="b">
        <v>1</v>
      </c>
      <c r="M71" t="b">
        <v>1</v>
      </c>
      <c r="N71" t="b">
        <v>0</v>
      </c>
      <c r="O71" t="s">
        <v>1131</v>
      </c>
      <c r="P71" t="b">
        <v>1</v>
      </c>
      <c r="Q71" t="b">
        <v>0</v>
      </c>
      <c r="R71">
        <v>0</v>
      </c>
    </row>
    <row r="72" spans="1:18">
      <c r="B72">
        <v>700105</v>
      </c>
      <c r="C72" t="s">
        <v>1141</v>
      </c>
      <c r="D72" t="s">
        <v>1142</v>
      </c>
      <c r="E72" t="s">
        <v>621</v>
      </c>
      <c r="F72" t="s">
        <v>1143</v>
      </c>
      <c r="G72" t="s">
        <v>1144</v>
      </c>
      <c r="H72" t="s">
        <v>161</v>
      </c>
      <c r="I72" t="b">
        <v>0</v>
      </c>
      <c r="J72" t="b">
        <v>0</v>
      </c>
      <c r="K72" t="b">
        <v>0</v>
      </c>
      <c r="L72" t="b">
        <v>1</v>
      </c>
      <c r="M72" t="b">
        <v>1</v>
      </c>
      <c r="N72" t="b">
        <v>0</v>
      </c>
      <c r="O72" t="s">
        <v>1136</v>
      </c>
      <c r="P72" t="b">
        <v>1</v>
      </c>
      <c r="Q72" t="b">
        <v>0</v>
      </c>
      <c r="R72">
        <v>0</v>
      </c>
    </row>
    <row r="73" spans="1:18">
      <c r="B73">
        <v>700107</v>
      </c>
      <c r="C73" t="s">
        <v>1145</v>
      </c>
      <c r="D73" t="s">
        <v>1146</v>
      </c>
      <c r="E73" t="s">
        <v>621</v>
      </c>
      <c r="F73" t="s">
        <v>1147</v>
      </c>
      <c r="G73" t="s">
        <v>1148</v>
      </c>
      <c r="H73" t="s">
        <v>161</v>
      </c>
      <c r="I73" t="b">
        <v>0</v>
      </c>
      <c r="J73" t="b">
        <v>0</v>
      </c>
      <c r="K73" t="b">
        <v>0</v>
      </c>
      <c r="L73" t="b">
        <v>1</v>
      </c>
      <c r="M73" t="b">
        <v>1</v>
      </c>
      <c r="N73" t="b">
        <v>0</v>
      </c>
      <c r="O73" t="s">
        <v>1131</v>
      </c>
      <c r="P73" t="b">
        <v>1</v>
      </c>
      <c r="Q73" t="b">
        <v>0</v>
      </c>
      <c r="R73">
        <v>0</v>
      </c>
    </row>
    <row r="74" spans="1:18">
      <c r="B74">
        <v>700108</v>
      </c>
      <c r="C74" t="s">
        <v>1149</v>
      </c>
      <c r="D74" t="s">
        <v>1150</v>
      </c>
      <c r="E74" t="s">
        <v>621</v>
      </c>
      <c r="F74" t="s">
        <v>1151</v>
      </c>
      <c r="G74" t="s">
        <v>1152</v>
      </c>
      <c r="H74" t="s">
        <v>161</v>
      </c>
      <c r="I74" t="b">
        <v>0</v>
      </c>
      <c r="J74" t="b">
        <v>0</v>
      </c>
      <c r="K74" t="b">
        <v>0</v>
      </c>
      <c r="L74" t="b">
        <v>1</v>
      </c>
      <c r="M74" t="b">
        <v>1</v>
      </c>
      <c r="N74" t="b">
        <v>0</v>
      </c>
      <c r="O74" t="s">
        <v>1136</v>
      </c>
      <c r="P74" t="b">
        <v>1</v>
      </c>
      <c r="Q74" t="b">
        <v>0</v>
      </c>
      <c r="R74">
        <v>0</v>
      </c>
    </row>
    <row r="75" spans="1:18">
      <c r="B75">
        <v>700110</v>
      </c>
      <c r="C75" t="s">
        <v>1153</v>
      </c>
      <c r="D75" t="s">
        <v>1154</v>
      </c>
      <c r="E75" t="s">
        <v>621</v>
      </c>
      <c r="F75" t="s">
        <v>1155</v>
      </c>
      <c r="G75" t="s">
        <v>1156</v>
      </c>
      <c r="H75" t="s">
        <v>161</v>
      </c>
      <c r="I75" t="b">
        <v>0</v>
      </c>
      <c r="J75" t="b">
        <v>0</v>
      </c>
      <c r="K75" t="b">
        <v>0</v>
      </c>
      <c r="L75" t="b">
        <v>1</v>
      </c>
      <c r="M75" t="b">
        <v>1</v>
      </c>
      <c r="N75" t="b">
        <v>0</v>
      </c>
      <c r="O75" t="s">
        <v>1131</v>
      </c>
      <c r="P75" t="b">
        <v>1</v>
      </c>
      <c r="Q75" t="b">
        <v>0</v>
      </c>
      <c r="R75">
        <v>0</v>
      </c>
    </row>
    <row r="76" spans="1:18">
      <c r="B76">
        <v>700111</v>
      </c>
      <c r="C76" t="s">
        <v>1157</v>
      </c>
      <c r="D76" t="s">
        <v>1158</v>
      </c>
      <c r="E76" t="s">
        <v>621</v>
      </c>
      <c r="F76" t="s">
        <v>1159</v>
      </c>
      <c r="G76" t="s">
        <v>1160</v>
      </c>
      <c r="H76" t="s">
        <v>161</v>
      </c>
      <c r="I76" t="b">
        <v>0</v>
      </c>
      <c r="J76" t="b">
        <v>0</v>
      </c>
      <c r="K76" t="b">
        <v>0</v>
      </c>
      <c r="L76" t="b">
        <v>1</v>
      </c>
      <c r="M76" t="b">
        <v>1</v>
      </c>
      <c r="N76" t="b">
        <v>0</v>
      </c>
      <c r="O76" t="s">
        <v>1136</v>
      </c>
      <c r="P76" t="b">
        <v>1</v>
      </c>
      <c r="Q76" t="b">
        <v>0</v>
      </c>
      <c r="R76">
        <v>0</v>
      </c>
    </row>
    <row r="77" spans="1:18">
      <c r="A77" t="s">
        <v>39</v>
      </c>
      <c r="B77" t="s">
        <v>1161</v>
      </c>
      <c r="C77" t="s">
        <v>161</v>
      </c>
      <c r="D77" t="s">
        <v>161</v>
      </c>
      <c r="E77" t="s">
        <v>161</v>
      </c>
      <c r="F77" t="s">
        <v>161</v>
      </c>
      <c r="G77" t="s">
        <v>161</v>
      </c>
      <c r="H77" t="s">
        <v>161</v>
      </c>
      <c r="I77" t="s">
        <v>161</v>
      </c>
      <c r="J77" t="s">
        <v>161</v>
      </c>
      <c r="K77" t="s">
        <v>161</v>
      </c>
      <c r="L77" t="s">
        <v>161</v>
      </c>
      <c r="M77" t="s">
        <v>161</v>
      </c>
      <c r="N77" t="s">
        <v>161</v>
      </c>
      <c r="O77" t="s">
        <v>161</v>
      </c>
      <c r="P77" t="s">
        <v>161</v>
      </c>
      <c r="Q77" t="s">
        <v>161</v>
      </c>
      <c r="R77" t="s">
        <v>161</v>
      </c>
    </row>
    <row r="78" spans="1:18">
      <c r="A78" t="s">
        <v>161</v>
      </c>
      <c r="B78">
        <v>701001</v>
      </c>
      <c r="C78" t="s">
        <v>1162</v>
      </c>
      <c r="D78" t="s">
        <v>1163</v>
      </c>
      <c r="E78" t="s">
        <v>621</v>
      </c>
      <c r="F78" t="s">
        <v>1164</v>
      </c>
      <c r="G78" t="s">
        <v>1034</v>
      </c>
      <c r="H78" t="s">
        <v>161</v>
      </c>
      <c r="I78" t="b">
        <v>0</v>
      </c>
      <c r="J78" t="b">
        <v>0</v>
      </c>
      <c r="K78" t="b">
        <v>0</v>
      </c>
      <c r="L78" t="b">
        <v>1</v>
      </c>
      <c r="M78" t="b">
        <v>1</v>
      </c>
      <c r="N78" t="b">
        <v>0</v>
      </c>
      <c r="O78" t="s">
        <v>1105</v>
      </c>
      <c r="P78" t="b">
        <v>1</v>
      </c>
      <c r="Q78" t="b">
        <v>1</v>
      </c>
      <c r="R78">
        <v>0</v>
      </c>
    </row>
    <row r="79" spans="1:18">
      <c r="A79" t="s">
        <v>39</v>
      </c>
      <c r="B79" t="s">
        <v>1165</v>
      </c>
    </row>
    <row r="80" spans="1:18">
      <c r="B80">
        <v>701101</v>
      </c>
      <c r="C80" t="s">
        <v>1166</v>
      </c>
      <c r="D80" t="s">
        <v>1167</v>
      </c>
      <c r="E80" t="s">
        <v>621</v>
      </c>
      <c r="F80" t="s">
        <v>1168</v>
      </c>
      <c r="G80" t="s">
        <v>1169</v>
      </c>
      <c r="H80" t="s">
        <v>161</v>
      </c>
      <c r="I80" t="b">
        <v>0</v>
      </c>
      <c r="J80" t="b">
        <v>0</v>
      </c>
      <c r="K80" t="b">
        <v>0</v>
      </c>
      <c r="L80" t="b">
        <v>1</v>
      </c>
      <c r="M80" t="b">
        <v>1</v>
      </c>
      <c r="N80" t="b">
        <v>0</v>
      </c>
      <c r="O80" t="s">
        <v>1131</v>
      </c>
      <c r="P80" t="b">
        <v>1</v>
      </c>
      <c r="Q80" t="b">
        <v>0</v>
      </c>
      <c r="R80">
        <v>0</v>
      </c>
    </row>
  </sheetData>
  <conditionalFormatting sqref="I$1:I$1048576">
    <cfRule type="cellIs" dxfId="7" priority="5" operator="equal">
      <formula>TRUE</formula>
    </cfRule>
  </conditionalFormatting>
  <conditionalFormatting sqref="N$1:N$1048576">
    <cfRule type="cellIs" dxfId="7" priority="3" operator="equal">
      <formula>TRUE</formula>
    </cfRule>
  </conditionalFormatting>
  <conditionalFormatting sqref="P$1:P$1048576">
    <cfRule type="containsText" dxfId="8" priority="1" operator="between" text="FALSE">
      <formula>NOT(ISERROR(SEARCH("FALSE",P1)))</formula>
    </cfRule>
  </conditionalFormatting>
  <conditionalFormatting sqref="Q$1:Q$1048576">
    <cfRule type="cellIs" dxfId="9" priority="2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" operator="containsText" id="{70471671-0983-44b5-b67d-d482b7b3cc41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L$1:L$1048576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8"/>
  <sheetViews>
    <sheetView topLeftCell="B10" workbookViewId="0">
      <selection activeCell="B20" sqref="$A20:$XFD20"/>
    </sheetView>
  </sheetViews>
  <sheetFormatPr defaultColWidth="8.66666666666667" defaultRowHeight="17.4" outlineLevelCol="6"/>
  <cols>
    <col min="3" max="3" width="14.0833333333333" customWidth="1"/>
    <col min="5" max="5" width="25.5" style="1" customWidth="1"/>
    <col min="6" max="6" width="17.4166666666667" style="2" customWidth="1"/>
    <col min="7" max="7" width="22.75" customWidth="1"/>
  </cols>
  <sheetData>
    <row r="1" spans="1:7">
      <c r="A1" s="3" t="s">
        <v>0</v>
      </c>
      <c r="B1" t="s">
        <v>1</v>
      </c>
      <c r="C1" t="s">
        <v>1170</v>
      </c>
      <c r="D1" t="s">
        <v>1171</v>
      </c>
      <c r="E1" s="1" t="s">
        <v>898</v>
      </c>
      <c r="F1" s="2" t="s">
        <v>1172</v>
      </c>
      <c r="G1" t="s">
        <v>1173</v>
      </c>
    </row>
    <row r="2" spans="1:7">
      <c r="A2" s="4" t="s">
        <v>29</v>
      </c>
      <c r="B2" t="s">
        <v>30</v>
      </c>
      <c r="C2" t="s">
        <v>30</v>
      </c>
      <c r="D2" t="s">
        <v>30</v>
      </c>
      <c r="E2" s="1" t="s">
        <v>31</v>
      </c>
      <c r="F2" s="2" t="s">
        <v>31</v>
      </c>
      <c r="G2" t="s">
        <v>31</v>
      </c>
    </row>
    <row r="3" spans="1:7">
      <c r="A3" s="2" t="s">
        <v>39</v>
      </c>
      <c r="B3" s="2" t="s">
        <v>161</v>
      </c>
      <c r="C3" s="2" t="s">
        <v>161</v>
      </c>
      <c r="D3" s="2" t="s">
        <v>161</v>
      </c>
      <c r="E3" s="1" t="s">
        <v>161</v>
      </c>
      <c r="F3" s="2" t="s">
        <v>161</v>
      </c>
      <c r="G3" t="s">
        <v>161</v>
      </c>
    </row>
    <row r="4" spans="1:7">
      <c r="A4" s="3" t="s">
        <v>39</v>
      </c>
      <c r="B4" s="5" t="s">
        <v>556</v>
      </c>
      <c r="C4" s="5" t="s">
        <v>1174</v>
      </c>
      <c r="D4" s="5" t="s">
        <v>1175</v>
      </c>
      <c r="E4" s="6" t="s">
        <v>1176</v>
      </c>
      <c r="F4" s="7" t="s">
        <v>596</v>
      </c>
      <c r="G4" s="8" t="s">
        <v>598</v>
      </c>
    </row>
    <row r="5" ht="87" spans="1:7">
      <c r="A5" t="s">
        <v>161</v>
      </c>
      <c r="B5">
        <v>1001</v>
      </c>
      <c r="C5">
        <v>100000</v>
      </c>
      <c r="D5">
        <v>199999</v>
      </c>
      <c r="E5" s="1" t="s">
        <v>1177</v>
      </c>
      <c r="F5" s="2" t="s">
        <v>597</v>
      </c>
      <c r="G5" s="5" t="s">
        <v>1178</v>
      </c>
    </row>
    <row r="6" ht="52.2" spans="1:7">
      <c r="A6" t="s">
        <v>161</v>
      </c>
      <c r="B6">
        <v>1002</v>
      </c>
      <c r="C6">
        <v>200000</v>
      </c>
      <c r="D6">
        <v>299999</v>
      </c>
      <c r="E6" s="1" t="s">
        <v>1179</v>
      </c>
      <c r="F6" s="2" t="s">
        <v>1180</v>
      </c>
      <c r="G6" t="s">
        <v>1181</v>
      </c>
    </row>
    <row r="7" ht="87" spans="1:7">
      <c r="A7" s="9" t="s">
        <v>39</v>
      </c>
      <c r="B7" s="9">
        <v>1003</v>
      </c>
      <c r="C7" s="9">
        <v>201000</v>
      </c>
      <c r="D7" s="9">
        <v>229999</v>
      </c>
      <c r="E7" s="10" t="s">
        <v>1182</v>
      </c>
      <c r="F7" s="11" t="s">
        <v>1183</v>
      </c>
      <c r="G7" s="12" t="s">
        <v>1184</v>
      </c>
    </row>
    <row r="8" ht="84" customHeight="1" spans="1:7">
      <c r="B8">
        <v>1003</v>
      </c>
      <c r="C8">
        <v>201000</v>
      </c>
      <c r="D8">
        <v>209999</v>
      </c>
      <c r="E8" s="1" t="s">
        <v>1185</v>
      </c>
      <c r="F8" s="2" t="s">
        <v>1186</v>
      </c>
      <c r="G8" s="5" t="s">
        <v>1187</v>
      </c>
    </row>
    <row r="9" ht="65" customHeight="1" spans="1:7">
      <c r="A9" t="s">
        <v>161</v>
      </c>
      <c r="B9">
        <v>1004</v>
      </c>
      <c r="C9">
        <v>210000</v>
      </c>
      <c r="D9">
        <v>299999</v>
      </c>
      <c r="E9" s="1" t="s">
        <v>1188</v>
      </c>
      <c r="F9" s="2" t="s">
        <v>1189</v>
      </c>
      <c r="G9" t="s">
        <v>1190</v>
      </c>
    </row>
    <row r="10" ht="69.6" spans="1:7">
      <c r="A10" s="9" t="s">
        <v>39</v>
      </c>
      <c r="B10" s="9">
        <v>1005</v>
      </c>
      <c r="C10" s="9">
        <v>300000</v>
      </c>
      <c r="D10" s="9">
        <v>399999</v>
      </c>
      <c r="E10" s="10" t="s">
        <v>1191</v>
      </c>
      <c r="F10" s="11" t="s">
        <v>1192</v>
      </c>
      <c r="G10" s="9" t="s">
        <v>1193</v>
      </c>
    </row>
    <row r="11" ht="67" customHeight="1" spans="1:7">
      <c r="B11">
        <v>1005</v>
      </c>
      <c r="C11">
        <v>300000</v>
      </c>
      <c r="D11">
        <v>399999</v>
      </c>
      <c r="E11" s="1" t="s">
        <v>1194</v>
      </c>
      <c r="F11" s="2" t="s">
        <v>1195</v>
      </c>
      <c r="G11" t="s">
        <v>1193</v>
      </c>
    </row>
    <row r="12" ht="34.8" spans="1:7">
      <c r="A12" s="9" t="s">
        <v>39</v>
      </c>
      <c r="B12" s="9">
        <v>1006</v>
      </c>
      <c r="C12" s="9">
        <v>301000</v>
      </c>
      <c r="D12" s="9">
        <v>301999</v>
      </c>
      <c r="E12" s="10" t="s">
        <v>1196</v>
      </c>
      <c r="F12" s="11" t="s">
        <v>1197</v>
      </c>
      <c r="G12" s="9" t="s">
        <v>1198</v>
      </c>
    </row>
    <row r="13" ht="60" customHeight="1" spans="1:7">
      <c r="B13">
        <v>1006</v>
      </c>
      <c r="C13">
        <v>301000</v>
      </c>
      <c r="D13">
        <v>301999</v>
      </c>
      <c r="E13" s="1" t="s">
        <v>1199</v>
      </c>
      <c r="F13" s="2" t="s">
        <v>1200</v>
      </c>
      <c r="G13" t="s">
        <v>1198</v>
      </c>
    </row>
    <row r="14" ht="34.8" spans="1:7">
      <c r="A14" t="s">
        <v>161</v>
      </c>
      <c r="B14">
        <v>1007</v>
      </c>
      <c r="C14">
        <v>302000</v>
      </c>
      <c r="D14">
        <v>302999</v>
      </c>
      <c r="E14" s="1" t="s">
        <v>1201</v>
      </c>
      <c r="F14" s="2" t="s">
        <v>1202</v>
      </c>
      <c r="G14" t="s">
        <v>1203</v>
      </c>
    </row>
    <row r="15" ht="34.8" spans="1:7">
      <c r="A15" t="s">
        <v>161</v>
      </c>
      <c r="B15">
        <v>1008</v>
      </c>
      <c r="C15">
        <v>303000</v>
      </c>
      <c r="D15">
        <v>399999</v>
      </c>
      <c r="E15" s="1" t="s">
        <v>1204</v>
      </c>
      <c r="F15" s="2" t="s">
        <v>1205</v>
      </c>
      <c r="G15" t="s">
        <v>1206</v>
      </c>
    </row>
    <row r="16" ht="87" spans="1:7">
      <c r="A16" t="s">
        <v>161</v>
      </c>
      <c r="B16">
        <v>1009</v>
      </c>
      <c r="C16">
        <v>400000</v>
      </c>
      <c r="D16">
        <v>499999</v>
      </c>
      <c r="E16" s="1" t="s">
        <v>1207</v>
      </c>
      <c r="F16" s="2" t="s">
        <v>1208</v>
      </c>
      <c r="G16" t="s">
        <v>1209</v>
      </c>
    </row>
    <row r="17" ht="52.2" spans="1:7">
      <c r="A17" t="s">
        <v>161</v>
      </c>
      <c r="B17">
        <v>1010</v>
      </c>
      <c r="C17">
        <v>400000</v>
      </c>
      <c r="D17">
        <v>409999</v>
      </c>
      <c r="E17" s="1" t="s">
        <v>1210</v>
      </c>
      <c r="F17" s="2" t="s">
        <v>1211</v>
      </c>
      <c r="G17" t="s">
        <v>1212</v>
      </c>
    </row>
    <row r="18" ht="52.2" spans="1:7">
      <c r="A18" t="s">
        <v>161</v>
      </c>
      <c r="B18">
        <v>1011</v>
      </c>
      <c r="C18">
        <v>410000</v>
      </c>
      <c r="D18">
        <v>499999</v>
      </c>
      <c r="E18" s="6" t="s">
        <v>1213</v>
      </c>
      <c r="F18" s="2" t="s">
        <v>1214</v>
      </c>
      <c r="G18" t="s">
        <v>1215</v>
      </c>
    </row>
    <row r="19" ht="52.2" spans="1:7">
      <c r="A19" t="s">
        <v>161</v>
      </c>
      <c r="B19">
        <v>1012</v>
      </c>
      <c r="C19">
        <v>500000</v>
      </c>
      <c r="D19">
        <v>599999</v>
      </c>
      <c r="E19" s="6" t="s">
        <v>1216</v>
      </c>
      <c r="F19" s="2" t="s">
        <v>1217</v>
      </c>
      <c r="G19" t="s">
        <v>1218</v>
      </c>
    </row>
    <row r="20" ht="52.2" spans="1:7">
      <c r="B20">
        <v>1033</v>
      </c>
      <c r="C20">
        <v>500001</v>
      </c>
      <c r="D20">
        <v>500999</v>
      </c>
      <c r="E20" s="6" t="s">
        <v>1219</v>
      </c>
      <c r="F20" s="2" t="s">
        <v>1220</v>
      </c>
      <c r="G20" t="s">
        <v>1221</v>
      </c>
    </row>
    <row r="21" ht="34.8" spans="1:7">
      <c r="A21" t="s">
        <v>161</v>
      </c>
      <c r="B21">
        <v>1013</v>
      </c>
      <c r="C21">
        <v>501000</v>
      </c>
      <c r="D21">
        <v>501999</v>
      </c>
      <c r="E21" s="6" t="s">
        <v>1222</v>
      </c>
      <c r="F21" s="2" t="s">
        <v>1223</v>
      </c>
      <c r="G21" t="s">
        <v>1224</v>
      </c>
    </row>
    <row r="22" ht="34.8" spans="1:7">
      <c r="A22" t="s">
        <v>161</v>
      </c>
      <c r="B22">
        <v>1014</v>
      </c>
      <c r="C22">
        <v>502000</v>
      </c>
      <c r="D22">
        <v>502999</v>
      </c>
      <c r="E22" s="1" t="s">
        <v>1225</v>
      </c>
      <c r="F22" s="2" t="s">
        <v>1226</v>
      </c>
      <c r="G22" t="s">
        <v>1227</v>
      </c>
    </row>
    <row r="23" ht="34.8" spans="1:7">
      <c r="A23" t="s">
        <v>161</v>
      </c>
      <c r="B23">
        <v>1015</v>
      </c>
      <c r="C23">
        <v>503000</v>
      </c>
      <c r="D23">
        <v>599999</v>
      </c>
      <c r="E23" s="6" t="s">
        <v>1228</v>
      </c>
      <c r="F23" s="2" t="s">
        <v>1229</v>
      </c>
      <c r="G23" t="s">
        <v>1230</v>
      </c>
    </row>
    <row r="24" ht="87" spans="1:7">
      <c r="A24" t="s">
        <v>161</v>
      </c>
      <c r="B24">
        <v>1016</v>
      </c>
      <c r="C24">
        <v>600000</v>
      </c>
      <c r="D24">
        <v>699999</v>
      </c>
      <c r="E24" s="6" t="s">
        <v>1231</v>
      </c>
      <c r="F24" s="2" t="s">
        <v>1232</v>
      </c>
      <c r="G24" t="s">
        <v>1233</v>
      </c>
    </row>
    <row r="25" ht="34.8" spans="1:7">
      <c r="A25" t="s">
        <v>161</v>
      </c>
      <c r="B25">
        <v>1017</v>
      </c>
      <c r="C25">
        <v>601000</v>
      </c>
      <c r="D25">
        <v>601999</v>
      </c>
      <c r="E25" s="6" t="s">
        <v>1234</v>
      </c>
      <c r="F25" s="2" t="s">
        <v>1235</v>
      </c>
      <c r="G25" t="s">
        <v>1236</v>
      </c>
    </row>
    <row r="26" ht="34.8" spans="1:7">
      <c r="A26" t="s">
        <v>161</v>
      </c>
      <c r="B26">
        <v>1018</v>
      </c>
      <c r="C26">
        <v>602000</v>
      </c>
      <c r="D26">
        <v>602999</v>
      </c>
      <c r="E26" s="6" t="s">
        <v>1237</v>
      </c>
      <c r="F26" s="2" t="s">
        <v>1238</v>
      </c>
      <c r="G26" t="s">
        <v>1239</v>
      </c>
    </row>
    <row r="27" ht="34.8" spans="1:7">
      <c r="A27" t="s">
        <v>161</v>
      </c>
      <c r="B27">
        <v>1019</v>
      </c>
      <c r="C27">
        <v>603000</v>
      </c>
      <c r="D27">
        <v>603999</v>
      </c>
      <c r="E27" s="6" t="s">
        <v>1240</v>
      </c>
      <c r="F27" s="2" t="s">
        <v>1241</v>
      </c>
      <c r="G27" t="s">
        <v>1242</v>
      </c>
    </row>
    <row r="28" ht="34.8" spans="1:7">
      <c r="A28" t="s">
        <v>161</v>
      </c>
      <c r="B28">
        <v>1020</v>
      </c>
      <c r="C28">
        <v>604000</v>
      </c>
      <c r="D28">
        <v>699999</v>
      </c>
      <c r="E28" s="6" t="s">
        <v>1243</v>
      </c>
      <c r="F28" s="2" t="s">
        <v>1244</v>
      </c>
      <c r="G28" t="s">
        <v>1245</v>
      </c>
    </row>
    <row r="29" ht="34.8" spans="1:7">
      <c r="A29" t="s">
        <v>161</v>
      </c>
      <c r="B29">
        <v>1021</v>
      </c>
      <c r="C29">
        <v>700000</v>
      </c>
      <c r="D29">
        <v>799999</v>
      </c>
      <c r="E29" s="6" t="s">
        <v>1246</v>
      </c>
      <c r="F29" s="2" t="s">
        <v>1247</v>
      </c>
      <c r="G29" t="s">
        <v>1248</v>
      </c>
    </row>
    <row r="30" ht="52.2" spans="1:7">
      <c r="A30" t="s">
        <v>161</v>
      </c>
      <c r="B30">
        <v>1022</v>
      </c>
      <c r="C30">
        <v>700000</v>
      </c>
      <c r="D30">
        <v>709999</v>
      </c>
      <c r="E30" s="1" t="s">
        <v>1249</v>
      </c>
      <c r="F30" s="2" t="s">
        <v>1250</v>
      </c>
      <c r="G30" t="s">
        <v>1251</v>
      </c>
    </row>
    <row r="31" ht="34.8" spans="1:7">
      <c r="A31" s="9" t="s">
        <v>39</v>
      </c>
      <c r="B31" s="9">
        <v>1023</v>
      </c>
      <c r="C31" s="9">
        <v>700000</v>
      </c>
      <c r="D31" s="9">
        <v>700999</v>
      </c>
      <c r="E31" s="13" t="s">
        <v>1252</v>
      </c>
      <c r="F31" s="11" t="s">
        <v>1253</v>
      </c>
      <c r="G31" s="9" t="s">
        <v>1254</v>
      </c>
    </row>
    <row r="32" ht="52.2" spans="1:7">
      <c r="B32">
        <v>1023</v>
      </c>
      <c r="C32">
        <v>700000</v>
      </c>
      <c r="D32">
        <v>700999</v>
      </c>
      <c r="E32" s="6" t="s">
        <v>1255</v>
      </c>
      <c r="F32" s="2" t="s">
        <v>1256</v>
      </c>
      <c r="G32" t="s">
        <v>1257</v>
      </c>
    </row>
    <row r="33" ht="34.8" spans="1:7">
      <c r="B33">
        <v>1029</v>
      </c>
      <c r="C33">
        <v>700000</v>
      </c>
      <c r="D33">
        <v>700099</v>
      </c>
      <c r="E33" s="2" t="s">
        <v>1258</v>
      </c>
      <c r="F33" s="2" t="s">
        <v>1259</v>
      </c>
      <c r="G33" t="s">
        <v>1260</v>
      </c>
    </row>
    <row r="34" ht="34.8" spans="1:7">
      <c r="B34">
        <v>1030</v>
      </c>
      <c r="C34">
        <v>700100</v>
      </c>
      <c r="D34">
        <v>700999</v>
      </c>
      <c r="E34" s="2" t="s">
        <v>1261</v>
      </c>
      <c r="F34" s="2" t="s">
        <v>1262</v>
      </c>
      <c r="G34" t="s">
        <v>1263</v>
      </c>
    </row>
    <row r="35" ht="34.8" spans="1:7">
      <c r="A35" s="9" t="s">
        <v>39</v>
      </c>
      <c r="B35" s="9">
        <v>1024</v>
      </c>
      <c r="C35" s="9">
        <v>701000</v>
      </c>
      <c r="D35" s="9">
        <v>701999</v>
      </c>
      <c r="E35" s="13" t="s">
        <v>1264</v>
      </c>
      <c r="F35" s="11" t="s">
        <v>1265</v>
      </c>
      <c r="G35" s="9" t="s">
        <v>1266</v>
      </c>
    </row>
    <row r="36" ht="71" customHeight="1" spans="1:7">
      <c r="B36">
        <v>1024</v>
      </c>
      <c r="C36">
        <v>701000</v>
      </c>
      <c r="D36">
        <v>701999</v>
      </c>
      <c r="E36" s="6" t="s">
        <v>1267</v>
      </c>
      <c r="F36" s="2" t="s">
        <v>1268</v>
      </c>
      <c r="G36" t="s">
        <v>1269</v>
      </c>
    </row>
    <row r="37" ht="71" customHeight="1" spans="1:7">
      <c r="B37">
        <v>1031</v>
      </c>
      <c r="C37">
        <v>701000</v>
      </c>
      <c r="D37">
        <v>701099</v>
      </c>
      <c r="E37" s="2" t="s">
        <v>1270</v>
      </c>
      <c r="F37" s="2" t="s">
        <v>1271</v>
      </c>
      <c r="G37" t="s">
        <v>1272</v>
      </c>
    </row>
    <row r="38" ht="71" customHeight="1" spans="1:7">
      <c r="B38">
        <v>1032</v>
      </c>
      <c r="C38">
        <v>701100</v>
      </c>
      <c r="D38">
        <v>701999</v>
      </c>
      <c r="E38" s="2" t="s">
        <v>1273</v>
      </c>
      <c r="F38" s="2" t="s">
        <v>1265</v>
      </c>
      <c r="G38" t="s">
        <v>1274</v>
      </c>
    </row>
    <row r="39" ht="34.8" spans="1:7">
      <c r="A39" t="s">
        <v>161</v>
      </c>
      <c r="B39">
        <v>1025</v>
      </c>
      <c r="C39">
        <v>702000</v>
      </c>
      <c r="D39">
        <v>709999</v>
      </c>
      <c r="E39" s="6" t="s">
        <v>1275</v>
      </c>
      <c r="F39" s="2" t="s">
        <v>1276</v>
      </c>
      <c r="G39" t="s">
        <v>1277</v>
      </c>
    </row>
    <row r="40" ht="34.8" spans="1:7">
      <c r="A40" t="s">
        <v>161</v>
      </c>
      <c r="B40">
        <v>1026</v>
      </c>
      <c r="C40">
        <v>710000</v>
      </c>
      <c r="D40">
        <v>799999</v>
      </c>
      <c r="E40" s="1" t="s">
        <v>1278</v>
      </c>
      <c r="F40" s="2" t="s">
        <v>1279</v>
      </c>
      <c r="G40" t="s">
        <v>1280</v>
      </c>
    </row>
    <row r="41" ht="34.8" spans="1:7">
      <c r="A41" t="s">
        <v>161</v>
      </c>
      <c r="B41">
        <v>1027</v>
      </c>
      <c r="C41">
        <v>800000</v>
      </c>
      <c r="D41">
        <v>999999</v>
      </c>
      <c r="E41" s="6" t="s">
        <v>1281</v>
      </c>
      <c r="F41" s="2" t="s">
        <v>1282</v>
      </c>
      <c r="G41" t="s">
        <v>629</v>
      </c>
    </row>
    <row r="42" ht="34.8" spans="1:7">
      <c r="A42" t="s">
        <v>161</v>
      </c>
      <c r="B42">
        <v>1028</v>
      </c>
      <c r="C42">
        <v>1</v>
      </c>
      <c r="D42">
        <v>99999</v>
      </c>
      <c r="E42" s="6" t="s">
        <v>1283</v>
      </c>
      <c r="F42" s="2" t="s">
        <v>1284</v>
      </c>
      <c r="G42" t="s">
        <v>1285</v>
      </c>
    </row>
    <row r="43" spans="1:7">
      <c r="E43" s="2"/>
      <c r="F43"/>
    </row>
    <row r="44" spans="1:7">
      <c r="F44"/>
    </row>
    <row r="45" spans="1:7">
      <c r="F45"/>
    </row>
    <row r="46" spans="1:7">
      <c r="F46"/>
    </row>
    <row r="47" spans="1:7">
      <c r="F47"/>
    </row>
    <row r="48" spans="1:7">
      <c r="E48" s="6"/>
    </row>
    <row r="49" spans="5:5">
      <c r="E49" s="6"/>
    </row>
    <row r="50" spans="5:5">
      <c r="E50" s="6"/>
    </row>
    <row r="51" spans="5:5">
      <c r="E51" s="6"/>
    </row>
    <row r="53" spans="5:5">
      <c r="E53" s="6"/>
    </row>
    <row r="54" spans="5:5">
      <c r="E54" s="6"/>
    </row>
    <row r="55" spans="5:5">
      <c r="E55" s="6"/>
    </row>
    <row r="57" spans="5:5">
      <c r="E57" s="6"/>
    </row>
    <row r="58" spans="5:5">
      <c r="E58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Item</vt:lpstr>
      <vt:lpstr>表说明</vt:lpstr>
      <vt:lpstr>BlindBox</vt:lpstr>
      <vt:lpstr>BlindBoxSchedule</vt:lpstr>
      <vt:lpstr>BlindBoxRarityRate</vt:lpstr>
      <vt:lpstr>BlindBoxRevealPath</vt:lpstr>
      <vt:lpstr>BlindBoxVisual</vt:lpstr>
      <vt:lpstr>RefreshmentConfig</vt:lpstr>
      <vt:lpstr>TabGroup</vt:lpstr>
      <vt:lpstr>EquipmentSlotConfig</vt:lpstr>
      <vt:lpstr>LinkTree</vt:lpstr>
      <vt:lpstr>SteamItemDef</vt:lpstr>
      <vt:lpstr>SteamItemDefIdRange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2026-08-14T12:33:38Z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