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firstSheet="4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  <sheet name="RefreshmentConfig" sheetId="20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<sst xmlns="http://schemas.openxmlformats.org/spreadsheetml/2006/main" count="2847" uniqueCount="1222">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</sst>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80" workbookViewId="0">
      <selection activeCell="C111" sqref="C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4" t="s">
        <v>39</v>
      </c>
      <c r="B3" s="4"/>
      <c r="C3" s="4"/>
      <c r="D3" s="4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21"/>
      <c r="M3" s="1" t="s">
        <v>45</v>
      </c>
      <c r="N3" s="1"/>
      <c r="O3" s="1" t="s">
        <v>46</v>
      </c>
      <c r="R3" s="1" t="s">
        <v>47</v>
      </c>
      <c r="S3" s="9"/>
      <c r="T3" s="1" t="s">
        <v>48</v>
      </c>
      <c r="U3" s="1" t="s">
        <v>49</v>
      </c>
      <c r="W3" s="9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647</v>
      </c>
      <c r="C3" s="1" t="s">
        <v>648</v>
      </c>
      <c r="D3" s="1" t="s">
        <v>649</v>
      </c>
      <c r="E3" s="1" t="s">
        <v>650</v>
      </c>
      <c r="F3" s="1" t="s">
        <v>651</v>
      </c>
      <c r="H3" s="1" t="s">
        <v>652</v>
      </c>
      <c r="I3" s="1" t="s">
        <v>653</v>
      </c>
      <c r="J3" s="1" t="s">
        <v>75</v>
      </c>
      <c r="K3" s="1" t="s">
        <v>654</v>
      </c>
      <c r="L3" s="1" t="s">
        <v>655</v>
      </c>
      <c r="M3" s="1" t="s">
        <v>656</v>
      </c>
      <c r="N3" s="1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D18" sqref="D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1" customFormat="1" ht="128" customHeight="1" spans="1:14">
      <c r="A3" s="4" t="s">
        <v>39</v>
      </c>
      <c r="B3" s="1"/>
      <c r="C3" s="1" t="s">
        <v>695</v>
      </c>
      <c r="D3" s="1" t="s">
        <v>696</v>
      </c>
      <c r="E3" s="1" t="s">
        <v>697</v>
      </c>
      <c r="F3" s="1" t="s">
        <v>698</v>
      </c>
      <c r="G3" s="1" t="s">
        <v>699</v>
      </c>
      <c r="H3" s="1" t="s">
        <v>700</v>
      </c>
      <c r="I3" s="1" t="s">
        <v>701</v>
      </c>
      <c r="J3" s="1" t="s">
        <v>667</v>
      </c>
      <c r="K3" s="1" t="s">
        <v>702</v>
      </c>
      <c r="L3" s="1" t="s">
        <v>703</v>
      </c>
      <c r="M3" s="1" t="s">
        <v>704</v>
      </c>
      <c r="N3" s="1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 t="s">
        <v>731</v>
      </c>
      <c r="C3" s="1" t="s">
        <v>695</v>
      </c>
      <c r="D3" s="1" t="s">
        <v>732</v>
      </c>
      <c r="E3" s="1" t="s">
        <v>733</v>
      </c>
      <c r="F3" s="13"/>
      <c r="G3" s="1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744</v>
      </c>
      <c r="D3" s="1" t="s">
        <v>745</v>
      </c>
      <c r="E3" s="1" t="s">
        <v>746</v>
      </c>
      <c r="F3" s="1" t="s">
        <v>747</v>
      </c>
      <c r="G3" s="1" t="s">
        <v>747</v>
      </c>
      <c r="H3" s="1" t="s">
        <v>748</v>
      </c>
      <c r="I3" s="1" t="s">
        <v>667</v>
      </c>
      <c r="J3" s="1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4" t="s">
        <v>39</v>
      </c>
      <c r="B3" s="4"/>
      <c r="C3" s="4" t="s">
        <v>764</v>
      </c>
      <c r="D3" s="1"/>
      <c r="E3" s="1" t="s">
        <v>765</v>
      </c>
      <c r="G3" s="1" t="s">
        <v>766</v>
      </c>
      <c r="H3" s="1" t="s">
        <v>767</v>
      </c>
      <c r="I3" s="1" t="s">
        <v>766</v>
      </c>
      <c r="K3" s="1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1" customFormat="1" ht="77" customHeight="1" spans="1:19">
      <c r="A3" s="1" t="s">
        <v>39</v>
      </c>
      <c r="B3" s="1" t="s">
        <v>824</v>
      </c>
      <c r="C3" s="1" t="s">
        <v>825</v>
      </c>
      <c r="D3" s="1" t="s">
        <v>826</v>
      </c>
      <c r="E3" s="1" t="s">
        <v>827</v>
      </c>
      <c r="F3" s="1" t="s">
        <v>828</v>
      </c>
      <c r="G3" s="1" t="s">
        <v>829</v>
      </c>
      <c r="H3" s="1" t="s">
        <v>830</v>
      </c>
      <c r="I3" s="1" t="s">
        <v>831</v>
      </c>
      <c r="J3" s="1" t="s">
        <v>832</v>
      </c>
      <c r="K3" s="1" t="s">
        <v>833</v>
      </c>
      <c r="L3" s="1" t="s">
        <v>834</v>
      </c>
      <c r="M3" s="1" t="s">
        <v>835</v>
      </c>
      <c r="N3" s="1" t="s">
        <v>836</v>
      </c>
      <c r="O3" s="1" t="s">
        <v>837</v>
      </c>
      <c r="P3" s="1" t="s">
        <v>838</v>
      </c>
      <c r="Q3" s="1" t="s">
        <v>839</v>
      </c>
      <c r="R3" s="1" t="s">
        <v>840</v>
      </c>
      <c r="S3" s="1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1" customFormat="1" ht="72" customHeight="1" spans="1:18">
      <c r="A3" s="1" t="s">
        <v>39</v>
      </c>
      <c r="B3" s="1" t="s">
        <v>894</v>
      </c>
      <c r="C3" s="1" t="s">
        <v>895</v>
      </c>
      <c r="E3" s="1" t="s">
        <v>896</v>
      </c>
      <c r="F3" s="9" t="s">
        <v>897</v>
      </c>
      <c r="G3" s="1" t="s">
        <v>52</v>
      </c>
      <c r="H3" s="10" t="s">
        <v>898</v>
      </c>
      <c r="I3" s="1" t="s">
        <v>899</v>
      </c>
      <c r="J3" s="1" t="s">
        <v>900</v>
      </c>
      <c r="K3" s="1" t="s">
        <v>901</v>
      </c>
      <c r="L3" s="1" t="s">
        <v>902</v>
      </c>
      <c r="M3" s="1" t="s">
        <v>903</v>
      </c>
      <c r="N3" s="1" t="s">
        <v>904</v>
      </c>
      <c r="O3" s="1" t="s">
        <v>905</v>
      </c>
      <c r="P3" s="1" t="s">
        <v>906</v>
      </c>
      <c r="Q3" s="1" t="s">
        <v>907</v>
      </c>
      <c r="R3" s="1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f89870a8-043b-4c6b-b4fa-20da56ae4c55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2" customWidth="1"/>
    <col min="6" max="6" width="17.4166666666667" style="1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2" t="s">
        <v>883</v>
      </c>
      <c r="F1" s="1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2" t="s">
        <v>31</v>
      </c>
      <c r="F2" s="1" t="s">
        <v>31</v>
      </c>
      <c r="G2" t="s">
        <v>31</v>
      </c>
    </row>
    <row r="3" spans="1:7">
      <c r="A3" s="1" t="s">
        <v>39</v>
      </c>
      <c r="B3" s="1" t="s">
        <v>161</v>
      </c>
      <c r="C3" s="1" t="s">
        <v>161</v>
      </c>
      <c r="D3" s="1" t="s">
        <v>161</v>
      </c>
      <c r="E3" s="2" t="s">
        <v>161</v>
      </c>
      <c r="F3" s="1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2" t="s">
        <v>1113</v>
      </c>
      <c r="F5" s="1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2" t="s">
        <v>1115</v>
      </c>
      <c r="F6" s="1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2" t="s">
        <v>1118</v>
      </c>
      <c r="F7" s="1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2" t="s">
        <v>1121</v>
      </c>
      <c r="F8" s="1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2" t="s">
        <v>1124</v>
      </c>
      <c r="F9" s="1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2" t="s">
        <v>1127</v>
      </c>
      <c r="F10" s="1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2" t="s">
        <v>1130</v>
      </c>
      <c r="F11" s="1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2" t="s">
        <v>1133</v>
      </c>
      <c r="F12" s="1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2" t="s">
        <v>1136</v>
      </c>
      <c r="F13" s="1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2" t="s">
        <v>1139</v>
      </c>
      <c r="F14" s="1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1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1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1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2" t="s">
        <v>1151</v>
      </c>
      <c r="F18" s="1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1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1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1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1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1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1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1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2" t="s">
        <v>1175</v>
      </c>
      <c r="F26" s="1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1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1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1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2" t="s">
        <v>1187</v>
      </c>
      <c r="F30" s="1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1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1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workbookViewId="0">
      <selection activeCell="C3" sqref="C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1195</v>
      </c>
      <c r="C1" t="s">
        <v>1196</v>
      </c>
      <c r="D1" t="s">
        <v>1197</v>
      </c>
      <c r="F1" t="s">
        <v>1198</v>
      </c>
      <c r="G1" t="s">
        <v>1199</v>
      </c>
      <c r="H1" t="s">
        <v>1200</v>
      </c>
      <c r="I1" t="s">
        <v>1201</v>
      </c>
    </row>
    <row r="2" spans="1:10">
      <c r="A2" t="s">
        <v>29</v>
      </c>
      <c r="B2" t="s">
        <v>1202</v>
      </c>
      <c r="C2" t="s">
        <v>30</v>
      </c>
      <c r="D2" t="s">
        <v>1203</v>
      </c>
      <c r="F2" t="s">
        <v>646</v>
      </c>
      <c r="G2" t="s">
        <v>31</v>
      </c>
      <c r="H2" t="s">
        <v>31</v>
      </c>
      <c r="I2" t="s">
        <v>30</v>
      </c>
    </row>
    <row r="3" s="1" customFormat="1" ht="198" customHeight="1" spans="1:10">
      <c r="A3" s="1" t="s">
        <v>39</v>
      </c>
      <c r="B3" s="1" t="s">
        <v>1204</v>
      </c>
      <c r="C3" s="1" t="s">
        <v>1205</v>
      </c>
      <c r="D3" s="1" t="s">
        <v>1206</v>
      </c>
      <c r="F3" s="1" t="s">
        <v>1207</v>
      </c>
      <c r="G3" s="1" t="s">
        <v>1208</v>
      </c>
      <c r="H3" s="1" t="s">
        <v>1209</v>
      </c>
      <c r="I3" s="1" t="s">
        <v>1210</v>
      </c>
    </row>
    <row r="4" spans="1:10">
      <c r="A4" t="s">
        <v>39</v>
      </c>
      <c r="B4" t="s">
        <v>1211</v>
      </c>
      <c r="C4" t="s">
        <v>1212</v>
      </c>
      <c r="D4" t="s">
        <v>1213</v>
      </c>
      <c r="E4" t="s">
        <v>1214</v>
      </c>
      <c r="F4" t="s">
        <v>1215</v>
      </c>
      <c r="G4" t="s">
        <v>1216</v>
      </c>
      <c r="H4" t="s">
        <v>1217</v>
      </c>
      <c r="I4" t="s">
        <v>1218</v>
      </c>
      <c r="J4" t="s">
        <v>1214</v>
      </c>
    </row>
    <row r="6" spans="1:10">
      <c r="B6">
        <v>9001</v>
      </c>
      <c r="C6">
        <v>3</v>
      </c>
      <c r="D6" t="s">
        <v>1219</v>
      </c>
      <c r="E6" t="str">
        <f>LOOKUP(B6,Item!B:B,Item!H:H)</f>
        <v>史诗</v>
      </c>
      <c r="F6">
        <v>0.9</v>
      </c>
      <c r="G6" t="s">
        <v>1220</v>
      </c>
      <c r="H6" t="s">
        <v>1221</v>
      </c>
      <c r="I6">
        <v>0</v>
      </c>
      <c r="J6" t="str">
        <f>LOOKUP(B6,Item!B:B,Item!D:D)</f>
        <v>红茶</v>
      </c>
    </row>
    <row r="7" spans="1:10">
      <c r="B7">
        <v>9002</v>
      </c>
      <c r="C7">
        <v>3</v>
      </c>
      <c r="D7" t="s">
        <v>1219</v>
      </c>
      <c r="E7" t="str">
        <f>LOOKUP(B7,Item!B:B,Item!H:H)</f>
        <v>稀有</v>
      </c>
      <c r="F7">
        <v>0.8</v>
      </c>
      <c r="G7" t="s">
        <v>1220</v>
      </c>
      <c r="H7" t="s">
        <v>1221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3</v>
      </c>
      <c r="D8" t="s">
        <v>1219</v>
      </c>
      <c r="E8" t="str">
        <f>LOOKUP(B8,Item!B:B,Item!H:H)</f>
        <v>稀有</v>
      </c>
      <c r="F8">
        <v>0.8</v>
      </c>
      <c r="G8" t="s">
        <v>1220</v>
      </c>
      <c r="H8" t="s">
        <v>1221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</v>
      </c>
      <c r="D9" t="s">
        <v>1219</v>
      </c>
      <c r="E9" t="str">
        <f>LOOKUP(B9,Item!B:B,Item!H:H)</f>
        <v>史诗</v>
      </c>
      <c r="F9">
        <v>0.9</v>
      </c>
      <c r="G9" t="s">
        <v>1220</v>
      </c>
      <c r="H9" t="s">
        <v>1221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3</v>
      </c>
      <c r="D10" t="s">
        <v>1219</v>
      </c>
      <c r="E10" t="str">
        <f>LOOKUP(B10,Item!B:B,Item!H:H)</f>
        <v>稀有</v>
      </c>
      <c r="F10">
        <v>0.8</v>
      </c>
      <c r="G10" t="s">
        <v>1220</v>
      </c>
      <c r="H10" t="s">
        <v>1221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3</v>
      </c>
      <c r="D11" t="s">
        <v>1219</v>
      </c>
      <c r="E11" t="str">
        <f>LOOKUP(B11,Item!B:B,Item!H:H)</f>
        <v>稀有</v>
      </c>
      <c r="F11">
        <v>0.8</v>
      </c>
      <c r="G11" t="s">
        <v>1220</v>
      </c>
      <c r="H11" t="s">
        <v>1221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3</v>
      </c>
      <c r="D12" t="s">
        <v>1219</v>
      </c>
      <c r="E12" t="str">
        <f>LOOKUP(B12,Item!B:B,Item!H:H)</f>
        <v>稀有</v>
      </c>
      <c r="F12">
        <v>0.8</v>
      </c>
      <c r="G12" t="s">
        <v>1220</v>
      </c>
      <c r="H12" t="s">
        <v>1221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</v>
      </c>
      <c r="D13" t="s">
        <v>1219</v>
      </c>
      <c r="E13" t="str">
        <f>LOOKUP(B13,Item!B:B,Item!H:H)</f>
        <v>史诗</v>
      </c>
      <c r="F13">
        <v>0.9</v>
      </c>
      <c r="G13" t="s">
        <v>1220</v>
      </c>
      <c r="H13" t="s">
        <v>1221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3</v>
      </c>
      <c r="D14" t="s">
        <v>1219</v>
      </c>
      <c r="E14" t="str">
        <f>LOOKUP(B14,Item!B:B,Item!H:H)</f>
        <v>优秀</v>
      </c>
      <c r="F14">
        <v>0.7</v>
      </c>
      <c r="G14" t="s">
        <v>1220</v>
      </c>
      <c r="H14" t="s">
        <v>1221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</v>
      </c>
      <c r="D15" t="s">
        <v>1219</v>
      </c>
      <c r="E15" t="str">
        <f>LOOKUP(B15,Item!B:B,Item!H:H)</f>
        <v>史诗</v>
      </c>
      <c r="F15">
        <v>0.9</v>
      </c>
      <c r="G15" t="s">
        <v>1220</v>
      </c>
      <c r="H15" t="s">
        <v>1221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3</v>
      </c>
      <c r="D16" t="s">
        <v>1219</v>
      </c>
      <c r="E16" t="str">
        <f>LOOKUP(B16,Item!B:B,Item!H:H)</f>
        <v>传说</v>
      </c>
      <c r="F16">
        <v>1</v>
      </c>
      <c r="G16" t="s">
        <v>1220</v>
      </c>
      <c r="H16" t="s">
        <v>1221</v>
      </c>
      <c r="I16">
        <v>30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  <vt:lpstr>RefreshmentConfig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2026-08-08T09:45:58Z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