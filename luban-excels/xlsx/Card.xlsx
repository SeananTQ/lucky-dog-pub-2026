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0" firstSheet="1" activeTab="1"/>
  </bookViews>
  <sheets>
    <sheet name="Sheet说明" sheetId="24" r:id="rId1"/>
    <sheet name="PlayerCard" sheetId="1" r:id="rId2"/>
    <sheet name="Card 头脑风暴备份" sheetId="22" r:id="rId3"/>
    <sheet name="Recipe" sheetId="18" r:id="rId4"/>
    <sheet name="PlayerClassDeck" sheetId="19" r:id="rId5"/>
    <sheet name="枚举" sheetId="2" r:id="rId6"/>
    <sheet name="Skill" sheetId="20" r:id="rId7"/>
    <sheet name="BespokeSkill" sheetId="21" r:id="rId8"/>
    <sheet name="Asset" sheetId="23" r:id="rId9"/>
    <sheet name="MvpEnemyCard" sheetId="25" r:id="rId10"/>
    <sheet name="MvpRewardPool" sheetId="26" r:id="rId11"/>
    <sheet name="UndercityCard" sheetId="28" r:id="rId12"/>
    <sheet name="GuideRecipe" sheetId="2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<sst xmlns="http://schemas.openxmlformats.org/spreadsheetml/2006/main" count="1431" uniqueCount="510">
  <si>
    <t>Sheet名</t>
  </si>
  <si>
    <t>说明</t>
  </si>
  <si>
    <t>BespokeSkill</t>
  </si>
  <si>
    <t>基于Luban特性，可以让两个Sheet来合并称为1张数据表，即两个Sheet的表头项目必须相同，但顺序可以不同。因此可以将每个Sheet各自关心的列放在前面。</t>
  </si>
  <si>
    <t>Skill和BespokeSkill是同一张表，但BespokeSkill属于是定制化的特殊技能不需要通过原子参数配置，因此分成两个Sheet来管理。</t>
  </si>
  <si>
    <t>待游戏后期，在BespokeSkill中发现多个技能实际结构差不多时，再将他们提炼成原子，迁移到Skill中。</t>
  </si>
  <si>
    <t>枚举</t>
  </si>
  <si>
    <t>不导出，只为策划编辑Excel时可以提供一个方便的下拉菜单而存在。</t>
  </si>
  <si>
    <t>Card 头脑风暴备份</t>
  </si>
  <si>
    <t>过时信息，先不删，但不要以里面的内容为准。</t>
  </si>
  <si>
    <t>##var</t>
  </si>
  <si>
    <t>id</t>
  </si>
  <si>
    <t>name</t>
  </si>
  <si>
    <t>factionTag</t>
  </si>
  <si>
    <t>cardTypeTag</t>
  </si>
  <si>
    <t>raceTag</t>
  </si>
  <si>
    <t>power</t>
  </si>
  <si>
    <t>manpower</t>
  </si>
  <si>
    <t>manpowerCost</t>
  </si>
  <si>
    <t>maxDuration</t>
  </si>
  <si>
    <t>basePrice</t>
  </si>
  <si>
    <t>*abilityList</t>
  </si>
  <si>
    <t>assetId</t>
  </si>
  <si>
    <t>##type</t>
  </si>
  <si>
    <t>int</t>
  </si>
  <si>
    <t>string</t>
  </si>
  <si>
    <t>Tags.FactionTag</t>
  </si>
  <si>
    <t>Tags.CardTypeTag</t>
  </si>
  <si>
    <t>Tags.RaceTag</t>
  </si>
  <si>
    <t>list,CardSkill.Ability</t>
  </si>
  <si>
    <t>##</t>
  </si>
  <si>
    <t>虽然在游戏中都会被包装成角色生物，但内部实现机制实际上还是区分了生物和法术等,目的是将来这套程序在开发别的游戏项目时可以复用。</t>
  </si>
  <si>
    <t>在野区需要派遣多少人力可以获得该卡牌</t>
  </si>
  <si>
    <t>光环、英雄、陷阱等支援区卡牌专用</t>
  </si>
  <si>
    <t>卡牌出现在商店中时，所需金币基础价格，MVP版本不考虑平衡。</t>
  </si>
  <si>
    <t>设计阶段用于快速记录想法，游戏内无作用</t>
  </si>
  <si>
    <t>abilityTriggerTag</t>
  </si>
  <si>
    <t>skillId</t>
  </si>
  <si>
    <t>isOnce</t>
  </si>
  <si>
    <t>触发时机标签</t>
  </si>
  <si>
    <t>技能id</t>
  </si>
  <si>
    <t>是绝响</t>
  </si>
  <si>
    <t>卡牌名称</t>
  </si>
  <si>
    <t>派系</t>
  </si>
  <si>
    <t>卡牌类型</t>
  </si>
  <si>
    <t>卡牌族类</t>
  </si>
  <si>
    <t>战力</t>
  </si>
  <si>
    <t>人力</t>
  </si>
  <si>
    <t>所需人力</t>
  </si>
  <si>
    <t>持续回合</t>
  </si>
  <si>
    <t>价格</t>
  </si>
  <si>
    <t>配方想法</t>
  </si>
  <si>
    <t>技能想法</t>
  </si>
  <si>
    <t>卡牌能力列表</t>
  </si>
  <si>
    <t>备注</t>
  </si>
  <si>
    <t>卡面美术资源</t>
  </si>
  <si>
    <t>民兵</t>
  </si>
  <si>
    <t>灰沙</t>
  </si>
  <si>
    <t>生物</t>
  </si>
  <si>
    <t>普通</t>
  </si>
  <si>
    <t>学徒</t>
  </si>
  <si>
    <t>余火士兵</t>
  </si>
  <si>
    <t>红焰</t>
  </si>
  <si>
    <t>余火学者</t>
  </si>
  <si>
    <t>马匹</t>
  </si>
  <si>
    <t>绿箭</t>
  </si>
  <si>
    <t>余火骑兵</t>
  </si>
  <si>
    <t>士兵+马匹=骑兵</t>
  </si>
  <si>
    <t>余火信骑</t>
  </si>
  <si>
    <t>蓝霜</t>
  </si>
  <si>
    <t>学者+马匹=传信骑兵</t>
  </si>
  <si>
    <t>进场后，摸1张牌</t>
  </si>
  <si>
    <t>进场</t>
  </si>
  <si>
    <t>马贩子</t>
  </si>
  <si>
    <t>法术</t>
  </si>
  <si>
    <t>进场后，召唤2张马匹卡到校场区</t>
  </si>
  <si>
    <t>这些马都是“自愿”的</t>
  </si>
  <si>
    <t>灰眼导师</t>
  </si>
  <si>
    <t>“雾都的人都疯了？我可没疯，我本来就什么都看不清。但奇怪的是在雾里，我反而能看见一些东西。”</t>
  </si>
  <si>
    <t>剑士</t>
  </si>
  <si>
    <t>灰眼导师+士兵=灰眼导师+剑士</t>
  </si>
  <si>
    <t>流浪剑客</t>
  </si>
  <si>
    <t>“我……是……谁……”</t>
  </si>
  <si>
    <t>line</t>
  </si>
  <si>
    <t>女酒保</t>
  </si>
  <si>
    <t>进场后，摸2张牌</t>
  </si>
  <si>
    <t>她不打架，但她知道每一个佣兵的名字，也记得谁赊了账。</t>
  </si>
  <si>
    <t>狼帮摩托手</t>
  </si>
  <si>
    <t>进场后，弃掉最左边的1张手牌</t>
  </si>
  <si>
    <t>群狼帮的车手从不刹车，当然，他们也从不检查后座的妞还在不在。</t>
  </si>
  <si>
    <t>银镰狙击手</t>
  </si>
  <si>
    <t>进场后，选择1名战力5以下的敌人，将其直接击败</t>
  </si>
  <si>
    <t>“银焰帮的规矩只有一条：开一枪，换一个地方。群狼帮的人直到倒下都没看清子弹从哪来。”</t>
  </si>
  <si>
    <t>小镇作家</t>
  </si>
  <si>
    <t>进场后，弃掉最左边的1张手牌。摸1张牌</t>
  </si>
  <si>
    <t>失控的答录机</t>
  </si>
  <si>
    <t>智械</t>
  </si>
  <si>
    <t>进场后，摸1张牌，然后弃掉最左边的手牌</t>
  </si>
  <si>
    <t>悲剧作家</t>
  </si>
  <si>
    <t>小镇作家+女酒保=悲剧作家</t>
  </si>
  <si>
    <t>进场后，从牌库中将2张牌置入弃牌区</t>
  </si>
  <si>
    <t>有人问他为什么只写悲剧。他抿了一口酒：“喜剧……需要两个人。”</t>
  </si>
  <si>
    <t>头号通缉犯</t>
  </si>
  <si>
    <t>猎人</t>
  </si>
  <si>
    <t>进场后，在野区末尾添加1名随机敌人</t>
  </si>
  <si>
    <t>高塔覆灭二十年了，安保机器人还在追他。是系统错误？漏洞？还是……它根本没收到“下班”的通知？</t>
  </si>
  <si>
    <t/>
  </si>
  <si>
    <t>捡零件的矮人</t>
  </si>
  <si>
    <t>矮人</t>
  </si>
  <si>
    <t>进场后，从弃牌区随机回收1张具有绝响的卡牌</t>
  </si>
  <si>
    <t>滑翔翼佣兵</t>
  </si>
  <si>
    <t>亚人</t>
  </si>
  <si>
    <t>进场后，从战利品区随机打捞1张卡牌，并将其置入手牌</t>
  </si>
  <si>
    <t>"这回发了！回去就把滑翔翼都换成纯金的！"</t>
  </si>
  <si>
    <t>联邦征兵官</t>
  </si>
  <si>
    <t>离场后，随机将战利品区的1张牌置入牌库顶</t>
  </si>
  <si>
    <t>离场</t>
  </si>
  <si>
    <t>"来不及解释了，快上车！"</t>
  </si>
  <si>
    <t>调酒师</t>
  </si>
  <si>
    <t>进场后，摸1张牌，然后选择1张手牌将其置入虚空区</t>
  </si>
  <si>
    <t>TRUE</t>
  </si>
  <si>
    <t>喝了这杯，忘掉那些伤心事吧。</t>
  </si>
  <si>
    <t>冰结法师</t>
  </si>
  <si>
    <t>进场后，你可以选择1名敌人将其置入野区末位。</t>
  </si>
  <si>
    <t>鉴定师</t>
  </si>
  <si>
    <t>进场后，摸2张牌，然后弃掉其中1张牌</t>
  </si>
  <si>
    <t>在驿镇，没人敢卖假货给王罡。不是因为怕他识破，而是怕他识破后那一锤子的动静</t>
  </si>
  <si>
    <t>倒吊人</t>
  </si>
  <si>
    <t>进场后，选择校场上1张孤牌将其置入弃牌区，若此做摸1张牌</t>
  </si>
  <si>
    <t>他说这是献祭仪式。但有时候，祭品就是他自己。</t>
  </si>
  <si>
    <t>鼠人飞刀手</t>
  </si>
  <si>
    <t>进场后，随机击败1名战力3以下的敌人</t>
  </si>
  <si>
    <t>"鼠鼠我呀……"</t>
  </si>
  <si>
    <t>募捐使者</t>
  </si>
  <si>
    <t>进场后，获得5X金币，X为校场中的生物数量</t>
  </si>
  <si>
    <t>"天呐，这地方人真多……"</t>
  </si>
  <si>
    <t>学院监考官</t>
  </si>
  <si>
    <t>改造者</t>
  </si>
  <si>
    <t>进场后，抽2张牌，留下其中的蓝霜牌，弃掉其余牌</t>
  </si>
  <si>
    <t>失格者不配拥有知识——他连看都不配看。</t>
  </si>
  <si>
    <t>砍价高手</t>
  </si>
  <si>
    <t>紫雾</t>
  </si>
  <si>
    <t>光环</t>
  </si>
  <si>
    <t>在场时，野区所有中立牌人力费用减1</t>
  </si>
  <si>
    <t>在场</t>
  </si>
  <si>
    <t>"不降价？那我就砍一刀。"</t>
  </si>
  <si>
    <t>绿洲大亨</t>
  </si>
  <si>
    <t>进场时，将1张劳工添加至手牌</t>
  </si>
  <si>
    <t>"签了这份合同，这个人就是你的啦——可不许反悔哟。"</t>
  </si>
  <si>
    <t>劳工</t>
  </si>
  <si>
    <t>"我自由了……吗？"</t>
  </si>
  <si>
    <t>作弊民兵</t>
  </si>
  <si>
    <t>作弊学徒</t>
  </si>
  <si>
    <t>作弊放逐</t>
  </si>
  <si>
    <t>进场时，放逐1张弃牌区或校场区的牌</t>
  </si>
  <si>
    <t>faction</t>
  </si>
  <si>
    <t>cardType</t>
  </si>
  <si>
    <t>cardRace</t>
  </si>
  <si>
    <t>cardTriggerTagList</t>
  </si>
  <si>
    <t>skillIdList</t>
  </si>
  <si>
    <t>CardFaction</t>
  </si>
  <si>
    <t>CardType</t>
  </si>
  <si>
    <t>CardRace</t>
  </si>
  <si>
    <t>(list#sep=|),CardTriggerTag</t>
  </si>
  <si>
    <t>(list#sep=|),int</t>
  </si>
  <si>
    <t>被动标签</t>
  </si>
  <si>
    <t>技能id组</t>
  </si>
  <si>
    <t>士兵</t>
  </si>
  <si>
    <t>学者</t>
  </si>
  <si>
    <t>骑兵</t>
  </si>
  <si>
    <t>传信骑兵</t>
  </si>
  <si>
    <t>绝响</t>
  </si>
  <si>
    <t>绝响|进场</t>
  </si>
  <si>
    <t>进场后，随机弃掉1张手牌</t>
  </si>
  <si>
    <t>进场后，弃掉最左边的手牌，若此做摸1张牌</t>
  </si>
  <si>
    <t>进场后，在野区末尾添加一名随机敌人</t>
  </si>
  <si>
    <t>进场|回收</t>
  </si>
  <si>
    <t>进场后，从弃牌区随机回收一张具有绝响的卡牌，并将其置入手牌</t>
  </si>
  <si>
    <t>进场|打捞</t>
  </si>
  <si>
    <t>进场后，从战利品区随机打捞一张卡牌，并将其置入手牌</t>
  </si>
  <si>
    <t>“这回发了！回去就把滑翔翼都换成纯金的！”</t>
  </si>
  <si>
    <t>离场后，随机将战利品区的一张牌置入牌库顶</t>
  </si>
  <si>
    <t>进场后，摸1张牌，然后选择一张手牌将其置入虚空区</t>
  </si>
  <si>
    <t>先机</t>
  </si>
  <si>
    <t>先机，与敌人交战前触发，将敌人置入野区末位，然后结束本次交战</t>
  </si>
  <si>
    <t>“鼠鼠我呀……”</t>
  </si>
  <si>
    <t>“天呐，这地方人真多……”</t>
  </si>
  <si>
    <t>进场后，抽两张牌，留下其中的蓝霜牌，弃掉其余牌</t>
  </si>
  <si>
    <t>在场时，野区所有资源牌人力费用减1</t>
  </si>
  <si>
    <t>“不降价？那我就砍一刀。”</t>
  </si>
  <si>
    <t>“签了这份合同，这个人就是你的啦——可不许反悔哟。”</t>
  </si>
  <si>
    <t>“我自由了……吗？”</t>
  </si>
  <si>
    <t>ingredientIdList</t>
  </si>
  <si>
    <t>productIdList</t>
  </si>
  <si>
    <t>#comment</t>
  </si>
  <si>
    <t>list,int</t>
  </si>
  <si>
    <t>i1</t>
  </si>
  <si>
    <t>i2</t>
  </si>
  <si>
    <t>i3</t>
  </si>
  <si>
    <t>p1</t>
  </si>
  <si>
    <t>p2</t>
  </si>
  <si>
    <t>p3</t>
  </si>
  <si>
    <t>游戏中玩家看不到，展示时也是按照规则用美术资源拼出来的公式</t>
  </si>
  <si>
    <t>配方ID</t>
  </si>
  <si>
    <t>原料列表</t>
  </si>
  <si>
    <t>产物列表</t>
  </si>
  <si>
    <t>配方备注</t>
  </si>
  <si>
    <t>女酒保+小镇作家=悲剧作家</t>
  </si>
  <si>
    <t>playerClassId</t>
  </si>
  <si>
    <t>description</t>
  </si>
  <si>
    <t>revealLevel</t>
  </si>
  <si>
    <t>unlockGold</t>
  </si>
  <si>
    <t>*startingDeck</t>
  </si>
  <si>
    <t>#Lookup函数校验</t>
  </si>
  <si>
    <t>职业ID</t>
  </si>
  <si>
    <t>职业名称</t>
  </si>
  <si>
    <t>职业描述</t>
  </si>
  <si>
    <t>揭示所需等级</t>
  </si>
  <si>
    <t>解锁所需金币</t>
  </si>
  <si>
    <t>卡牌ID</t>
  </si>
  <si>
    <t>卡牌备注</t>
  </si>
  <si>
    <t>余火青年</t>
  </si>
  <si>
    <t>余火会中年轻有为的新人。起始牌组均衡，适合新手了解游戏机制。</t>
  </si>
  <si>
    <t>余火勇士</t>
  </si>
  <si>
    <t>余火会中……侧重战力。</t>
  </si>
  <si>
    <t>余火先知</t>
  </si>
  <si>
    <t>余火会中……侧重人力。</t>
  </si>
  <si>
    <t>余火程序员</t>
  </si>
  <si>
    <t>余火会的程序员，用于测试游戏，起始卡组可以根据实际需求配置任意内容</t>
  </si>
  <si>
    <t>测试合成</t>
  </si>
  <si>
    <t>第2批 — 合成系统 + 简单进场效果</t>
  </si>
  <si>
    <t>测试第3批</t>
  </si>
  <si>
    <t>简单技能（直接执行）— 含合成测试</t>
  </si>
  <si>
    <t>测试第4批</t>
  </si>
  <si>
    <t>多步骤/随机效果</t>
  </si>
  <si>
    <t>测试第5批</t>
  </si>
  <si>
    <t>玩家选择（Phase 1+2 重点）</t>
  </si>
  <si>
    <t>测试第6批</t>
  </si>
  <si>
    <t>特殊机制 — 绝响回收/光环/派系过滤/多区Exile</t>
  </si>
  <si>
    <t>影响美术外观</t>
  </si>
  <si>
    <t>卡牌全标签</t>
  </si>
  <si>
    <t>卡牌派系</t>
  </si>
  <si>
    <t>技能触发时机</t>
  </si>
  <si>
    <t>卡牌种族</t>
  </si>
  <si>
    <t>敌方队列位置</t>
  </si>
  <si>
    <t>卡牌技能效果约束模式</t>
  </si>
  <si>
    <t>后续技能效果约束模式</t>
  </si>
  <si>
    <t>卡牌区域</t>
  </si>
  <si>
    <t>卡牌标签种类</t>
  </si>
  <si>
    <t>__派系</t>
  </si>
  <si>
    <t>白板</t>
  </si>
  <si>
    <t>首位</t>
  </si>
  <si>
    <t>直接执行</t>
  </si>
  <si>
    <t>无</t>
  </si>
  <si>
    <t>牌库顶</t>
  </si>
  <si>
    <t>末位</t>
  </si>
  <si>
    <t>你可以</t>
  </si>
  <si>
    <t>无条件执行</t>
  </si>
  <si>
    <t>手牌</t>
  </si>
  <si>
    <t>类型</t>
  </si>
  <si>
    <t>陷阱</t>
  </si>
  <si>
    <t>前移</t>
  </si>
  <si>
    <t>你必须</t>
  </si>
  <si>
    <t>当你如此做</t>
  </si>
  <si>
    <t>校场区</t>
  </si>
  <si>
    <t>种族</t>
  </si>
  <si>
    <t>后移</t>
  </si>
  <si>
    <t>必选其一</t>
  </si>
  <si>
    <t>若你如此做</t>
  </si>
  <si>
    <t>弃牌区</t>
  </si>
  <si>
    <t>时机</t>
  </si>
  <si>
    <t>英雄</t>
  </si>
  <si>
    <t>蛊虫</t>
  </si>
  <si>
    <t>尽可能</t>
  </si>
  <si>
    <t>若你无法如此做</t>
  </si>
  <si>
    <t>旅店区</t>
  </si>
  <si>
    <t>技能</t>
  </si>
  <si>
    <t>异魔</t>
  </si>
  <si>
    <t>虚空区</t>
  </si>
  <si>
    <t>特殊</t>
  </si>
  <si>
    <t>__类型</t>
  </si>
  <si>
    <t>放逐</t>
  </si>
  <si>
    <t>支援区</t>
  </si>
  <si>
    <t>销毁</t>
  </si>
  <si>
    <t>野区卡组</t>
  </si>
  <si>
    <t>每当</t>
  </si>
  <si>
    <t>魔灵</t>
  </si>
  <si>
    <t>野区</t>
  </si>
  <si>
    <t>构造体</t>
  </si>
  <si>
    <t>战利品区</t>
  </si>
  <si>
    <t>临时区</t>
  </si>
  <si>
    <t>__种族</t>
  </si>
  <si>
    <t>牌库底</t>
  </si>
  <si>
    <t>牌库任意位置</t>
  </si>
  <si>
    <t>__时机</t>
  </si>
  <si>
    <t>__常用技能</t>
  </si>
  <si>
    <t>__特殊</t>
  </si>
  <si>
    <t>*actionGroupList</t>
  </si>
  <si>
    <t>*cardSkillEffectList</t>
  </si>
  <si>
    <t>bespokeFileName</t>
  </si>
  <si>
    <t>parameterMap</t>
  </si>
  <si>
    <t>bespokeHandlerKey</t>
  </si>
  <si>
    <t>计划1开头为测试过的；2开头开始为执行策划补充技能</t>
  </si>
  <si>
    <t>玩家看不见，仅做内部沟通使用，例如控制台打印信息时。</t>
  </si>
  <si>
    <t>给玩家看的描述，能需要富文本可能需要多语言。但如实现还没想好，MVP先简单以表格内的字符直接显示给玩家。</t>
  </si>
  <si>
    <t>每个复杂技能在策划文档中都对应一个单独的md文件，用于仔细描述该技能的具体效果。</t>
  </si>
  <si>
    <t>数值参数键值对，这个float会按照需求中的约定，变为特定的具体类型。例如如果约定是bool的话，0就是false，1就是true了</t>
  </si>
  <si>
    <t>list,CardSkill.ActionGroup</t>
  </si>
  <si>
    <t>list,CardSkill.Effect</t>
  </si>
  <si>
    <t>map,string,float</t>
  </si>
  <si>
    <t>$type</t>
  </si>
  <si>
    <t>executionMode</t>
  </si>
  <si>
    <t>sequencingMode</t>
  </si>
  <si>
    <t>cardIdA</t>
  </si>
  <si>
    <t>isRandom</t>
  </si>
  <si>
    <t>sourceZone</t>
  </si>
  <si>
    <t>amountA</t>
  </si>
  <si>
    <t>destinationZone</t>
  </si>
  <si>
    <t>amountB</t>
  </si>
  <si>
    <t>minPower</t>
  </si>
  <si>
    <t>maxPower</t>
  </si>
  <si>
    <t>cardTagCategory</t>
  </si>
  <si>
    <t>tagValue</t>
  </si>
  <si>
    <t>queuePosition</t>
  </si>
  <si>
    <t>bool类型</t>
  </si>
  <si>
    <t>技能ID</t>
  </si>
  <si>
    <t>技能名称</t>
  </si>
  <si>
    <t>技能描述</t>
  </si>
  <si>
    <t>效果约束模式</t>
  </si>
  <si>
    <t>后续效果约束模式</t>
  </si>
  <si>
    <t>效果类型</t>
  </si>
  <si>
    <t>是随机模式吗</t>
  </si>
  <si>
    <t>来源区域</t>
  </si>
  <si>
    <t>数量A</t>
  </si>
  <si>
    <t>去向区域</t>
  </si>
  <si>
    <t>数量B</t>
  </si>
  <si>
    <t>min战力以上</t>
  </si>
  <si>
    <t>max战力以下</t>
  </si>
  <si>
    <t>标签种类</t>
  </si>
  <si>
    <t>标签值</t>
  </si>
  <si>
    <t>队列位置</t>
  </si>
  <si>
    <t>技能需求文件名</t>
  </si>
  <si>
    <t>键</t>
  </si>
  <si>
    <t>值</t>
  </si>
  <si>
    <t>特殊技能标识名</t>
  </si>
  <si>
    <t>摸1张牌</t>
  </si>
  <si>
    <t>ActionGroup</t>
  </si>
  <si>
    <t>Draw</t>
  </si>
  <si>
    <t>召唤2张马匹</t>
  </si>
  <si>
    <t>Summon</t>
  </si>
  <si>
    <t>随机直杀3</t>
  </si>
  <si>
    <t>Kill</t>
  </si>
  <si>
    <t>随机弃1牌</t>
  </si>
  <si>
    <t>Discard</t>
  </si>
  <si>
    <t>牌库弃2</t>
  </si>
  <si>
    <t>Mill</t>
  </si>
  <si>
    <t>打捞1张随机卡牌，进手牌</t>
  </si>
  <si>
    <t>Salvage</t>
  </si>
  <si>
    <t>打捞1张指定卡牌，置入牌库顶</t>
  </si>
  <si>
    <t>放逐1张指定手牌</t>
  </si>
  <si>
    <t>Exile</t>
  </si>
  <si>
    <t>回收1张随机绝响卡</t>
  </si>
  <si>
    <t>RecoverBySpecialTag</t>
  </si>
  <si>
    <t>你可以推1敌人末位</t>
  </si>
  <si>
    <t>MoveEnemy</t>
  </si>
  <si>
    <t>添加1名随机敌人</t>
  </si>
  <si>
    <t>CreateEnemy</t>
  </si>
  <si>
    <t>解散校场1张孤牌，摸1</t>
  </si>
  <si>
    <t>FallOut</t>
  </si>
  <si>
    <t>摸1。必须指定1手牌放逐</t>
  </si>
  <si>
    <t>弃最左。摸1</t>
  </si>
  <si>
    <t>摸1。弃最左</t>
  </si>
  <si>
    <t>摸2弃其中1</t>
  </si>
  <si>
    <t>PlayerFilter</t>
  </si>
  <si>
    <t>摸2弃非蓝霜</t>
  </si>
  <si>
    <t>FactionFilter</t>
  </si>
  <si>
    <t>摸2张牌</t>
  </si>
  <si>
    <t>直杀5</t>
  </si>
  <si>
    <t>添加劳工到手牌</t>
  </si>
  <si>
    <t>选择弃牌区或校场区的1张牌放逐</t>
  </si>
  <si>
    <t>校场区|弃牌区</t>
  </si>
  <si>
    <t>*parameterMap</t>
  </si>
  <si>
    <t>给玩家看的描述，能需要富文本可能需要多语言。但如何实现还没想好，MVP先简单以表格内的字符直接显示给玩家。</t>
  </si>
  <si>
    <t>数值参数键值对</t>
  </si>
  <si>
    <t>产金币5倍校场</t>
  </si>
  <si>
    <t>GoldFromField</t>
  </si>
  <si>
    <t>bespoke-001.md</t>
  </si>
  <si>
    <t>GoldMultiplier</t>
  </si>
  <si>
    <t>Bespoke</t>
  </si>
  <si>
    <t>野区所有资源牌人力费用减1</t>
  </si>
  <si>
    <t>DiscountManpower</t>
  </si>
  <si>
    <t>bespoke-002.md</t>
  </si>
  <si>
    <t>ManpowerCost</t>
  </si>
  <si>
    <t>emoji</t>
  </si>
  <si>
    <t>开发阶段用emoji做卡牌图片占位符</t>
  </si>
  <si>
    <t>资源ID</t>
  </si>
  <si>
    <t>关联卡牌ID备注</t>
  </si>
  <si>
    <t>Emoji占位符</t>
  </si>
  <si>
    <t>通俗名称</t>
  </si>
  <si>
    <r>
      <rPr>
        <sz val="12"/>
        <color theme="1"/>
        <rFont val="微软雅黑"/>
        <charset val="134"/>
      </rPr>
      <t>👨</t>
    </r>
    <r>
      <rPr>
        <sz val="12"/>
        <color theme="1"/>
        <rFont val="Times New Roman"/>
        <charset val="134"/>
      </rPr>
      <t>‍</t>
    </r>
    <r>
      <rPr>
        <sz val="12"/>
        <color theme="1"/>
        <rFont val="微软雅黑"/>
        <charset val="134"/>
      </rPr>
      <t>🌾</t>
    </r>
  </si>
  <si>
    <t>持矛民兵</t>
  </si>
  <si>
    <r>
      <rPr>
        <sz val="12"/>
        <color theme="1"/>
        <rFont val="微软雅黑"/>
        <charset val="134"/>
      </rPr>
      <t>👨</t>
    </r>
    <r>
      <rPr>
        <sz val="12"/>
        <color theme="1"/>
        <rFont val="Times New Roman"/>
        <charset val="134"/>
      </rPr>
      <t>‍</t>
    </r>
    <r>
      <rPr>
        <sz val="12"/>
        <color theme="1"/>
        <rFont val="微软雅黑"/>
        <charset val="134"/>
      </rPr>
      <t>📖</t>
    </r>
  </si>
  <si>
    <t>读书学徒</t>
  </si>
  <si>
    <r>
      <rPr>
        <sz val="12"/>
        <color theme="1"/>
        <rFont val="宋体"/>
        <charset val="134"/>
      </rPr>
      <t>👨</t>
    </r>
    <r>
      <rPr>
        <sz val="12"/>
        <color theme="1"/>
        <rFont val="Times New Roman"/>
        <charset val="134"/>
      </rPr>
      <t>‍</t>
    </r>
    <r>
      <rPr>
        <sz val="12"/>
        <color theme="1"/>
        <rFont val="宋体"/>
        <charset val="134"/>
      </rPr>
      <t>⚔</t>
    </r>
    <r>
      <rPr>
        <sz val="12"/>
        <color theme="1"/>
        <rFont val="微软雅黑"/>
        <charset val="134"/>
      </rPr>
      <t>️</t>
    </r>
  </si>
  <si>
    <t>持剑士兵</t>
  </si>
  <si>
    <r>
      <rPr>
        <sz val="12"/>
        <color theme="1"/>
        <rFont val="微软雅黑"/>
        <charset val="134"/>
      </rPr>
      <t>👨</t>
    </r>
    <r>
      <rPr>
        <sz val="12"/>
        <color theme="1"/>
        <rFont val="Times New Roman"/>
        <charset val="134"/>
      </rPr>
      <t>‍</t>
    </r>
    <r>
      <rPr>
        <sz val="12"/>
        <color theme="1"/>
        <rFont val="微软雅黑"/>
        <charset val="134"/>
      </rPr>
      <t>📚</t>
    </r>
  </si>
  <si>
    <t>研究学者</t>
  </si>
  <si>
    <t>🐴</t>
  </si>
  <si>
    <t>🏇</t>
  </si>
  <si>
    <t>骑马战士</t>
  </si>
  <si>
    <t>🏇📨</t>
  </si>
  <si>
    <t>🐴💰</t>
  </si>
  <si>
    <t>卖马贩子</t>
  </si>
  <si>
    <t>👨‍🏫</t>
  </si>
  <si>
    <r>
      <rPr>
        <sz val="12"/>
        <color theme="1"/>
        <rFont val="微软雅黑"/>
        <charset val="134"/>
      </rPr>
      <t>👨</t>
    </r>
    <r>
      <rPr>
        <sz val="12"/>
        <color theme="1"/>
        <rFont val="Times New Roman"/>
        <charset val="134"/>
      </rPr>
      <t>‍</t>
    </r>
    <r>
      <rPr>
        <sz val="12"/>
        <color theme="1"/>
        <rFont val="微软雅黑"/>
        <charset val="134"/>
      </rPr>
      <t>🗡️</t>
    </r>
  </si>
  <si>
    <t>持剑战士</t>
  </si>
  <si>
    <t>🗡🌫</t>
  </si>
  <si>
    <t>🍸</t>
  </si>
  <si>
    <t>🏍️</t>
  </si>
  <si>
    <t>摩托骑手</t>
  </si>
  <si>
    <t>🎯</t>
  </si>
  <si>
    <t>狙击手</t>
  </si>
  <si>
    <t>✍️</t>
  </si>
  <si>
    <t>🤖📼</t>
  </si>
  <si>
    <t>答录机</t>
  </si>
  <si>
    <r>
      <rPr>
        <sz val="12"/>
        <color theme="1"/>
        <rFont val="宋体"/>
        <charset val="134"/>
      </rPr>
      <t>✍</t>
    </r>
    <r>
      <rPr>
        <sz val="12"/>
        <color theme="1"/>
        <rFont val="微软雅黑"/>
        <charset val="134"/>
      </rPr>
      <t>️🍷</t>
    </r>
  </si>
  <si>
    <t>🤖🔫</t>
  </si>
  <si>
    <t>通缉犯</t>
  </si>
  <si>
    <t>⚒️♻️</t>
  </si>
  <si>
    <t>拾荒矮人</t>
  </si>
  <si>
    <t>🪂💰</t>
  </si>
  <si>
    <t>滑翔佣兵</t>
  </si>
  <si>
    <t>🚌</t>
  </si>
  <si>
    <t>征兵官</t>
  </si>
  <si>
    <t>🧊</t>
  </si>
  <si>
    <t>🔨</t>
  </si>
  <si>
    <t>🙃</t>
  </si>
  <si>
    <t>🐭🗡️</t>
  </si>
  <si>
    <t>🙏💰</t>
  </si>
  <si>
    <t>👨‍🏫📝</t>
  </si>
  <si>
    <t>监考官</t>
  </si>
  <si>
    <t>💰✂️</t>
  </si>
  <si>
    <t>🤵💼</t>
  </si>
  <si>
    <t>👷</t>
  </si>
  <si>
    <t>enemyType</t>
  </si>
  <si>
    <t>attackType</t>
  </si>
  <si>
    <t>secondaryHealth</t>
  </si>
  <si>
    <t>groupId</t>
  </si>
  <si>
    <t>orderPoint</t>
  </si>
  <si>
    <t>weight</t>
  </si>
  <si>
    <t>rewardGoldAmount</t>
  </si>
  <si>
    <t>rewardType</t>
  </si>
  <si>
    <t>rewardCardId</t>
  </si>
  <si>
    <t>rewardPoolId</t>
  </si>
  <si>
    <t>Enemy.EnemyCardType</t>
  </si>
  <si>
    <t>Enemy.AttackType</t>
  </si>
  <si>
    <t>Reward.DropType</t>
  </si>
  <si>
    <t>通常BOSS才会有的一种属性，越过战力门槛之后BOSS会进入狂暴状态，此时继续攻击它可削减邪能</t>
  </si>
  <si>
    <t>在需要添加卡牌时，同一组内的卡牌按照weight随机出1只添加到野区</t>
  </si>
  <si>
    <t>这标志着敌方出现的顺序，在MVP版本中为了减少随机复杂带来的测试问题，直接就按照1、2、3、4……的顺序出现即可</t>
  </si>
  <si>
    <t>敌人类型</t>
  </si>
  <si>
    <t>攻击方式</t>
  </si>
  <si>
    <t>招募人力</t>
  </si>
  <si>
    <t>邪能</t>
  </si>
  <si>
    <t>组id</t>
  </si>
  <si>
    <t>序列点</t>
  </si>
  <si>
    <t>权重</t>
  </si>
  <si>
    <t>奖励金币</t>
  </si>
  <si>
    <t>奖励类型</t>
  </si>
  <si>
    <t>奖励卡牌 ID</t>
  </si>
  <si>
    <t>奖励卡池 ID</t>
  </si>
  <si>
    <t>技能 ID</t>
  </si>
  <si>
    <t>沙漠飞虫</t>
  </si>
  <si>
    <t>怪物</t>
  </si>
  <si>
    <t>近战</t>
  </si>
  <si>
    <t>随机</t>
  </si>
  <si>
    <t>边境暴徒</t>
  </si>
  <si>
    <t>边境劫匪</t>
  </si>
  <si>
    <t>矿洞守卫机甲</t>
  </si>
  <si>
    <t>沙漠毒虫</t>
  </si>
  <si>
    <t>蚀区狗虫</t>
  </si>
  <si>
    <t>大力工头</t>
  </si>
  <si>
    <t>矿洞巡逻机甲</t>
  </si>
  <si>
    <t>沙漠巨蝎</t>
  </si>
  <si>
    <t>猎镰虫</t>
  </si>
  <si>
    <t>暴走警卫机甲</t>
  </si>
  <si>
    <t>蚀区先锋</t>
  </si>
  <si>
    <t>矿洞精英守卫</t>
  </si>
  <si>
    <t>天塔监工</t>
  </si>
  <si>
    <t>BOSS</t>
  </si>
  <si>
    <t>中立</t>
  </si>
  <si>
    <t>固定</t>
  </si>
  <si>
    <t>drawCount</t>
  </si>
  <si>
    <t>isRemoveOnObtained</t>
  </si>
  <si>
    <t>*dropCardList</t>
  </si>
  <si>
    <t>bool</t>
  </si>
  <si>
    <t>list,Reward.DropCard</t>
  </si>
  <si>
    <t>amount</t>
  </si>
  <si>
    <t>在该奖池内随机拿几次奖品给玩家</t>
  </si>
  <si>
    <t>每次拿到奖励，是否把该奖励从奖池中剔除</t>
  </si>
  <si>
    <t>这项奖品发几个</t>
  </si>
  <si>
    <t>加权求和，按权重区间找到命中条目</t>
  </si>
  <si>
    <t>奖池ID</t>
  </si>
  <si>
    <t>几份奖励</t>
  </si>
  <si>
    <t>是否剔除已获得奖项</t>
  </si>
  <si>
    <t>奖励卡牌Id</t>
  </si>
  <si>
    <t>数量</t>
  </si>
  <si>
    <t>地痞</t>
  </si>
  <si>
    <t>hintedRecipeId</t>
  </si>
  <si>
    <t>hintCondition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</si>
</sst>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微软雅黑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5" borderId="0" xfId="0" applyFill="1">
      <alignment vertical="center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6"/>
  <sheetViews>
    <sheetView workbookViewId="0">
      <selection activeCell="C32" sqref="C32"/>
    </sheetView>
  </sheetViews>
  <sheetFormatPr defaultColWidth="8.66666666666667" defaultRowHeight="17.4" outlineLevelRow="5" outlineLevelCol="2"/>
  <cols>
    <col min="2" max="2" width="16.0833333333333" customWidth="1"/>
    <col min="3" max="3" width="124.083333333333" customWidth="1"/>
  </cols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3" spans="2:3">
      <c r="C3" t="s">
        <v>4</v>
      </c>
    </row>
    <row r="4" spans="2:3">
      <c r="C4" t="s">
        <v>5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"/>
  <sheetViews>
    <sheetView tabSelected="1" topLeftCell="A15" workbookViewId="0">
      <selection activeCell="A34" sqref="$A34:$XFD3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11.4166666666667" customWidth="1"/>
    <col min="4" max="4" width="3.83333333333333" customWidth="1"/>
    <col min="5" max="5" width="7.16666666666667" customWidth="1"/>
    <col min="6" max="6" width="4.16666666666667" customWidth="1"/>
    <col min="7" max="7" width="6.33333333333333" customWidth="1"/>
    <col min="8" max="8" width="9.91666666666667" customWidth="1"/>
    <col min="9" max="9" width="13.75" customWidth="1"/>
    <col min="10" max="10" width="12.25" customWidth="1"/>
    <col min="11" max="11" width="15.5833333333333" customWidth="1"/>
    <col min="12" max="12" width="9.5" customWidth="1"/>
    <col min="13" max="13" width="53.4166666666667" customWidth="1"/>
    <col min="14" max="15" width="13.8333333333333" customWidth="1"/>
    <col min="16" max="16" width="6.08333333333333" customWidth="1"/>
    <col min="17" max="17" width="4.58333333333333" customWidth="1"/>
    <col min="18" max="18" width="11.4166666666667" customWidth="1"/>
  </cols>
  <sheetData>
    <row r="1" spans="1:1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N1" s="21" t="s">
        <v>21</v>
      </c>
      <c r="O1" s="21"/>
      <c r="P1" s="21"/>
      <c r="R1" t="s">
        <v>22</v>
      </c>
    </row>
    <row r="2" spans="1:1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N2" s="21" t="s">
        <v>29</v>
      </c>
      <c r="O2" s="21"/>
      <c r="P2" s="21"/>
      <c r="R2" t="s">
        <v>24</v>
      </c>
    </row>
    <row r="3" ht="70" customHeight="1" spans="1:18">
      <c r="A3" t="s">
        <v>30</v>
      </c>
      <c r="E3" s="1" t="s">
        <v>31</v>
      </c>
      <c r="F3" s="1"/>
      <c r="I3" s="1" t="s">
        <v>32</v>
      </c>
      <c r="J3" s="1" t="s">
        <v>33</v>
      </c>
      <c r="K3" s="1" t="s">
        <v>34</v>
      </c>
      <c r="L3" s="1" t="s">
        <v>35</v>
      </c>
      <c r="M3" s="1" t="s">
        <v>35</v>
      </c>
      <c r="N3" s="22"/>
      <c r="O3" s="22"/>
      <c r="P3" s="22"/>
    </row>
    <row r="4" customFormat="1" spans="1:18">
      <c r="A4" t="s">
        <v>10</v>
      </c>
      <c r="E4" s="1"/>
      <c r="F4" s="1"/>
      <c r="I4" s="1"/>
      <c r="J4" s="1"/>
      <c r="K4" s="1"/>
      <c r="L4" s="1"/>
      <c r="M4" s="1"/>
      <c r="N4" s="21" t="s">
        <v>36</v>
      </c>
      <c r="O4" s="21" t="s">
        <v>37</v>
      </c>
      <c r="P4" s="23" t="s">
        <v>38</v>
      </c>
    </row>
    <row r="5" customFormat="1" spans="1:18">
      <c r="A5" t="s">
        <v>30</v>
      </c>
      <c r="E5" s="1"/>
      <c r="F5" s="1"/>
      <c r="I5" s="1"/>
      <c r="J5" s="1"/>
      <c r="K5" s="1"/>
      <c r="L5" s="1"/>
      <c r="M5" s="1"/>
      <c r="N5" s="21" t="s">
        <v>39</v>
      </c>
      <c r="O5" s="21" t="s">
        <v>40</v>
      </c>
      <c r="P5" s="23" t="s">
        <v>41</v>
      </c>
    </row>
    <row r="6" s="7" customFormat="1" spans="1:18">
      <c r="A6" s="2" t="s">
        <v>30</v>
      </c>
      <c r="B6" s="2" t="s">
        <v>11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52</v>
      </c>
      <c r="N6" s="9" t="s">
        <v>53</v>
      </c>
      <c r="O6" s="9"/>
      <c r="P6" s="9"/>
      <c r="Q6" s="2" t="s">
        <v>54</v>
      </c>
      <c r="R6" s="2" t="s">
        <v>55</v>
      </c>
    </row>
    <row r="7" spans="1:18">
      <c r="B7">
        <v>1001</v>
      </c>
      <c r="C7" t="s">
        <v>56</v>
      </c>
      <c r="D7" t="s">
        <v>57</v>
      </c>
      <c r="E7" t="s">
        <v>58</v>
      </c>
      <c r="F7" t="s">
        <v>59</v>
      </c>
      <c r="G7">
        <v>1</v>
      </c>
      <c r="H7">
        <v>0</v>
      </c>
      <c r="I7">
        <v>1</v>
      </c>
      <c r="K7">
        <v>100</v>
      </c>
      <c r="R7">
        <v>1001</v>
      </c>
    </row>
    <row r="8" spans="1:18">
      <c r="B8">
        <v>1002</v>
      </c>
      <c r="C8" t="s">
        <v>60</v>
      </c>
      <c r="D8" t="s">
        <v>57</v>
      </c>
      <c r="E8" t="s">
        <v>58</v>
      </c>
      <c r="F8" t="s">
        <v>59</v>
      </c>
      <c r="G8">
        <v>0</v>
      </c>
      <c r="H8">
        <v>1</v>
      </c>
      <c r="I8">
        <v>1</v>
      </c>
      <c r="K8">
        <v>100</v>
      </c>
      <c r="R8">
        <v>1002</v>
      </c>
    </row>
    <row r="9" spans="1:18">
      <c r="B9">
        <v>1003</v>
      </c>
      <c r="C9" t="s">
        <v>61</v>
      </c>
      <c r="D9" t="s">
        <v>62</v>
      </c>
      <c r="E9" t="s">
        <v>58</v>
      </c>
      <c r="F9" t="s">
        <v>59</v>
      </c>
      <c r="G9">
        <v>2</v>
      </c>
      <c r="H9">
        <v>0</v>
      </c>
      <c r="I9">
        <v>2</v>
      </c>
      <c r="K9">
        <v>100</v>
      </c>
      <c r="R9">
        <v>1003</v>
      </c>
    </row>
    <row r="10" spans="1:18">
      <c r="B10">
        <v>1004</v>
      </c>
      <c r="C10" t="s">
        <v>63</v>
      </c>
      <c r="D10" t="s">
        <v>62</v>
      </c>
      <c r="E10" t="s">
        <v>58</v>
      </c>
      <c r="F10" t="s">
        <v>59</v>
      </c>
      <c r="G10">
        <v>0</v>
      </c>
      <c r="H10">
        <v>2</v>
      </c>
      <c r="I10">
        <v>3</v>
      </c>
      <c r="K10">
        <v>100</v>
      </c>
      <c r="R10">
        <v>1004</v>
      </c>
    </row>
    <row r="11" spans="1:18">
      <c r="B11">
        <v>1005</v>
      </c>
      <c r="C11" t="s">
        <v>64</v>
      </c>
      <c r="D11" t="s">
        <v>65</v>
      </c>
      <c r="E11" t="s">
        <v>58</v>
      </c>
      <c r="F11" t="s">
        <v>59</v>
      </c>
      <c r="G11">
        <v>0</v>
      </c>
      <c r="H11">
        <v>3</v>
      </c>
      <c r="I11">
        <v>3</v>
      </c>
      <c r="K11">
        <v>100</v>
      </c>
      <c r="R11">
        <v>1005</v>
      </c>
    </row>
    <row r="12" spans="1:18">
      <c r="B12">
        <v>1006</v>
      </c>
      <c r="C12" t="s">
        <v>66</v>
      </c>
      <c r="D12" t="s">
        <v>65</v>
      </c>
      <c r="E12" t="s">
        <v>58</v>
      </c>
      <c r="F12" t="s">
        <v>59</v>
      </c>
      <c r="G12">
        <v>5</v>
      </c>
      <c r="H12">
        <v>0</v>
      </c>
      <c r="I12">
        <v>6</v>
      </c>
      <c r="K12">
        <v>100</v>
      </c>
      <c r="L12" t="s">
        <v>67</v>
      </c>
      <c r="R12">
        <v>1006</v>
      </c>
    </row>
    <row r="13" spans="1:18">
      <c r="B13">
        <v>1007</v>
      </c>
      <c r="C13" t="s">
        <v>68</v>
      </c>
      <c r="D13" t="s">
        <v>69</v>
      </c>
      <c r="E13" t="s">
        <v>58</v>
      </c>
      <c r="F13" t="s">
        <v>59</v>
      </c>
      <c r="G13">
        <v>0</v>
      </c>
      <c r="H13">
        <v>2</v>
      </c>
      <c r="I13">
        <v>7</v>
      </c>
      <c r="K13">
        <v>100</v>
      </c>
      <c r="L13" t="s">
        <v>70</v>
      </c>
      <c r="M13" t="s">
        <v>71</v>
      </c>
      <c r="N13" t="s">
        <v>72</v>
      </c>
      <c r="O13">
        <v>1001</v>
      </c>
      <c r="R13">
        <v>1007</v>
      </c>
    </row>
    <row r="14" spans="1:18">
      <c r="B14">
        <v>1008</v>
      </c>
      <c r="C14" t="s">
        <v>73</v>
      </c>
      <c r="D14" t="s">
        <v>69</v>
      </c>
      <c r="E14" t="s">
        <v>74</v>
      </c>
      <c r="F14" t="s">
        <v>59</v>
      </c>
      <c r="G14">
        <v>0</v>
      </c>
      <c r="H14">
        <v>1</v>
      </c>
      <c r="I14">
        <v>6</v>
      </c>
      <c r="K14">
        <v>100</v>
      </c>
      <c r="M14" t="s">
        <v>75</v>
      </c>
      <c r="N14" t="s">
        <v>72</v>
      </c>
      <c r="O14">
        <v>1002</v>
      </c>
      <c r="P14" t="b">
        <v>1</v>
      </c>
      <c r="Q14" t="s">
        <v>76</v>
      </c>
      <c r="R14">
        <v>1008</v>
      </c>
    </row>
    <row r="15" spans="1:18">
      <c r="B15">
        <v>1009</v>
      </c>
      <c r="C15" t="s">
        <v>77</v>
      </c>
      <c r="D15" t="s">
        <v>62</v>
      </c>
      <c r="E15" t="s">
        <v>58</v>
      </c>
      <c r="F15" t="s">
        <v>59</v>
      </c>
      <c r="G15">
        <v>2</v>
      </c>
      <c r="H15">
        <v>0</v>
      </c>
      <c r="I15">
        <v>4</v>
      </c>
      <c r="K15">
        <v>100</v>
      </c>
      <c r="Q15" t="s">
        <v>78</v>
      </c>
      <c r="R15">
        <v>1009</v>
      </c>
    </row>
    <row r="16" spans="1:18">
      <c r="B16">
        <v>1010</v>
      </c>
      <c r="C16" t="s">
        <v>79</v>
      </c>
      <c r="D16" t="s">
        <v>62</v>
      </c>
      <c r="E16" t="s">
        <v>58</v>
      </c>
      <c r="F16" t="s">
        <v>59</v>
      </c>
      <c r="G16">
        <v>5</v>
      </c>
      <c r="H16">
        <v>0</v>
      </c>
      <c r="I16">
        <v>5</v>
      </c>
      <c r="K16">
        <v>100</v>
      </c>
      <c r="L16" t="s">
        <v>80</v>
      </c>
      <c r="R16">
        <v>1010</v>
      </c>
    </row>
    <row r="17" spans="1:18">
      <c r="B17">
        <v>1011</v>
      </c>
      <c r="C17" t="s">
        <v>81</v>
      </c>
      <c r="D17" t="s">
        <v>57</v>
      </c>
      <c r="E17" t="s">
        <v>58</v>
      </c>
      <c r="F17" t="s">
        <v>59</v>
      </c>
      <c r="G17">
        <v>7</v>
      </c>
      <c r="H17">
        <v>0</v>
      </c>
      <c r="I17">
        <v>5</v>
      </c>
      <c r="K17">
        <v>100</v>
      </c>
      <c r="Q17" t="s">
        <v>82</v>
      </c>
      <c r="R17">
        <v>1011</v>
      </c>
    </row>
    <row r="18" spans="1:18">
      <c r="A18" t="s">
        <v>83</v>
      </c>
    </row>
    <row r="19" s="7" customFormat="1" spans="1:18">
      <c r="B19" s="7">
        <v>1012</v>
      </c>
      <c r="C19" s="7" t="s">
        <v>84</v>
      </c>
      <c r="D19" s="7" t="s">
        <v>69</v>
      </c>
      <c r="E19" s="7" t="s">
        <v>74</v>
      </c>
      <c r="F19" s="7" t="s">
        <v>59</v>
      </c>
      <c r="G19" s="7">
        <v>0</v>
      </c>
      <c r="H19" s="7">
        <v>1</v>
      </c>
      <c r="I19" s="7">
        <v>6</v>
      </c>
      <c r="K19" s="7">
        <v>100</v>
      </c>
      <c r="M19" s="7" t="s">
        <v>85</v>
      </c>
      <c r="N19" s="7" t="s">
        <v>72</v>
      </c>
      <c r="O19" s="7">
        <v>10001</v>
      </c>
      <c r="P19" s="7" t="b">
        <v>1</v>
      </c>
      <c r="Q19" s="7" t="s">
        <v>86</v>
      </c>
      <c r="R19" s="7">
        <v>1012</v>
      </c>
    </row>
    <row r="20" s="7" customFormat="1" spans="1:18">
      <c r="B20" s="7">
        <v>1013</v>
      </c>
      <c r="C20" s="7" t="s">
        <v>87</v>
      </c>
      <c r="D20" s="7" t="s">
        <v>65</v>
      </c>
      <c r="E20" s="7" t="s">
        <v>58</v>
      </c>
      <c r="F20" s="7" t="s">
        <v>59</v>
      </c>
      <c r="G20" s="7">
        <v>7</v>
      </c>
      <c r="H20" s="7">
        <v>0</v>
      </c>
      <c r="I20" s="7">
        <v>5</v>
      </c>
      <c r="K20" s="7">
        <v>100</v>
      </c>
      <c r="M20" s="7" t="s">
        <v>88</v>
      </c>
      <c r="N20" s="7" t="s">
        <v>72</v>
      </c>
      <c r="O20" s="7">
        <v>1004</v>
      </c>
      <c r="Q20" s="7" t="s">
        <v>89</v>
      </c>
      <c r="R20" s="7">
        <v>1013</v>
      </c>
    </row>
    <row r="21" s="7" customFormat="1" spans="1:18">
      <c r="B21" s="7">
        <v>1014</v>
      </c>
      <c r="C21" s="7" t="s">
        <v>90</v>
      </c>
      <c r="D21" s="7" t="s">
        <v>69</v>
      </c>
      <c r="E21" s="7" t="s">
        <v>58</v>
      </c>
      <c r="F21" s="7" t="s">
        <v>59</v>
      </c>
      <c r="G21" s="7">
        <v>0</v>
      </c>
      <c r="H21" s="7">
        <v>0</v>
      </c>
      <c r="I21" s="7">
        <v>4</v>
      </c>
      <c r="K21" s="7">
        <v>100</v>
      </c>
      <c r="M21" s="7" t="s">
        <v>91</v>
      </c>
      <c r="N21" s="7" t="s">
        <v>72</v>
      </c>
      <c r="O21" s="7">
        <v>10002</v>
      </c>
      <c r="Q21" s="7" t="s">
        <v>92</v>
      </c>
      <c r="R21" s="7">
        <v>1014</v>
      </c>
    </row>
    <row r="22" s="7" customFormat="1" spans="1:18">
      <c r="B22" s="7">
        <v>1015</v>
      </c>
      <c r="C22" s="7" t="s">
        <v>93</v>
      </c>
      <c r="D22" s="7" t="s">
        <v>69</v>
      </c>
      <c r="E22" s="7" t="s">
        <v>74</v>
      </c>
      <c r="F22" s="7" t="s">
        <v>59</v>
      </c>
      <c r="G22" s="7">
        <v>0</v>
      </c>
      <c r="H22" s="7">
        <v>1</v>
      </c>
      <c r="I22" s="7">
        <v>4</v>
      </c>
      <c r="K22" s="7">
        <v>100</v>
      </c>
      <c r="M22" s="7" t="s">
        <v>94</v>
      </c>
      <c r="N22" s="7" t="s">
        <v>72</v>
      </c>
      <c r="O22" s="7">
        <v>3003</v>
      </c>
      <c r="P22" s="7" t="b">
        <v>1</v>
      </c>
      <c r="R22" s="7">
        <v>1015</v>
      </c>
    </row>
    <row r="23" s="7" customFormat="1" spans="1:18">
      <c r="B23" s="7">
        <v>1016</v>
      </c>
      <c r="C23" s="7" t="s">
        <v>95</v>
      </c>
      <c r="D23" s="7" t="s">
        <v>69</v>
      </c>
      <c r="E23" s="7" t="s">
        <v>58</v>
      </c>
      <c r="F23" s="7" t="s">
        <v>96</v>
      </c>
      <c r="G23" s="7">
        <v>2</v>
      </c>
      <c r="H23" s="7">
        <v>0</v>
      </c>
      <c r="I23" s="7">
        <v>4</v>
      </c>
      <c r="K23" s="7">
        <v>100</v>
      </c>
      <c r="M23" s="7" t="s">
        <v>97</v>
      </c>
      <c r="N23" s="7" t="s">
        <v>72</v>
      </c>
      <c r="O23" s="7">
        <v>3004</v>
      </c>
      <c r="R23" s="7">
        <v>1016</v>
      </c>
    </row>
    <row r="24" s="7" customFormat="1" spans="1:18">
      <c r="B24" s="7">
        <v>1017</v>
      </c>
      <c r="C24" s="7" t="s">
        <v>98</v>
      </c>
      <c r="D24" s="7" t="s">
        <v>65</v>
      </c>
      <c r="E24" s="7" t="s">
        <v>58</v>
      </c>
      <c r="F24" s="7" t="s">
        <v>59</v>
      </c>
      <c r="G24" s="7">
        <v>0</v>
      </c>
      <c r="H24" s="7">
        <v>4</v>
      </c>
      <c r="I24" s="7">
        <v>5</v>
      </c>
      <c r="K24" s="7">
        <v>100</v>
      </c>
      <c r="L24" s="7" t="s">
        <v>99</v>
      </c>
      <c r="M24" s="7" t="s">
        <v>100</v>
      </c>
      <c r="N24" s="7" t="s">
        <v>72</v>
      </c>
      <c r="O24" s="7">
        <v>1005</v>
      </c>
      <c r="Q24" s="7" t="s">
        <v>101</v>
      </c>
      <c r="R24" s="7">
        <v>1017</v>
      </c>
    </row>
    <row r="25" s="7" customFormat="1" spans="1:18">
      <c r="B25" s="7">
        <v>1018</v>
      </c>
      <c r="C25" s="7" t="s">
        <v>102</v>
      </c>
      <c r="D25" s="7" t="s">
        <v>57</v>
      </c>
      <c r="E25" s="7" t="s">
        <v>58</v>
      </c>
      <c r="F25" s="7" t="s">
        <v>103</v>
      </c>
      <c r="G25" s="7">
        <v>7</v>
      </c>
      <c r="H25" s="7">
        <v>0</v>
      </c>
      <c r="I25" s="7">
        <v>5</v>
      </c>
      <c r="K25" s="7">
        <v>100</v>
      </c>
      <c r="M25" s="7" t="s">
        <v>104</v>
      </c>
      <c r="N25" s="7" t="s">
        <v>72</v>
      </c>
      <c r="O25" s="7">
        <v>2002</v>
      </c>
      <c r="Q25" s="7" t="s">
        <v>105</v>
      </c>
      <c r="R25" s="7">
        <v>1018</v>
      </c>
    </row>
    <row r="26" s="7" customFormat="1" spans="1:18">
      <c r="A26" s="7" t="s">
        <v>106</v>
      </c>
      <c r="B26" s="7">
        <v>1019</v>
      </c>
      <c r="C26" s="7" t="s">
        <v>107</v>
      </c>
      <c r="D26" s="7" t="s">
        <v>65</v>
      </c>
      <c r="E26" s="7" t="s">
        <v>58</v>
      </c>
      <c r="F26" s="7" t="s">
        <v>108</v>
      </c>
      <c r="G26" s="7">
        <v>3</v>
      </c>
      <c r="H26" s="7">
        <v>0</v>
      </c>
      <c r="I26" s="7">
        <v>7</v>
      </c>
      <c r="K26" s="7">
        <v>100</v>
      </c>
      <c r="L26" s="7" t="s">
        <v>106</v>
      </c>
      <c r="M26" s="7" t="s">
        <v>109</v>
      </c>
      <c r="N26" s="7" t="s">
        <v>72</v>
      </c>
      <c r="O26" s="7">
        <v>1011</v>
      </c>
      <c r="P26" s="7" t="s">
        <v>106</v>
      </c>
      <c r="Q26" s="7" t="s">
        <v>106</v>
      </c>
      <c r="R26" s="7">
        <v>1019</v>
      </c>
    </row>
    <row r="27" s="7" customFormat="1" spans="1:18">
      <c r="A27" s="7" t="s">
        <v>106</v>
      </c>
      <c r="B27" s="7">
        <v>1020</v>
      </c>
      <c r="C27" s="7" t="s">
        <v>110</v>
      </c>
      <c r="D27" s="7" t="s">
        <v>62</v>
      </c>
      <c r="E27" s="7" t="s">
        <v>58</v>
      </c>
      <c r="F27" s="7" t="s">
        <v>111</v>
      </c>
      <c r="G27" s="7">
        <v>4</v>
      </c>
      <c r="H27" s="7">
        <v>0</v>
      </c>
      <c r="I27" s="7">
        <v>7</v>
      </c>
      <c r="K27" s="7">
        <v>100</v>
      </c>
      <c r="L27" s="7" t="s">
        <v>106</v>
      </c>
      <c r="M27" s="7" t="s">
        <v>112</v>
      </c>
      <c r="N27" s="7" t="s">
        <v>72</v>
      </c>
      <c r="O27" s="7">
        <v>1006</v>
      </c>
      <c r="P27" s="7" t="s">
        <v>106</v>
      </c>
      <c r="Q27" s="7" t="s">
        <v>113</v>
      </c>
      <c r="R27" s="7">
        <v>1020</v>
      </c>
    </row>
    <row r="28" s="7" customFormat="1" spans="1:18">
      <c r="A28" s="7" t="s">
        <v>106</v>
      </c>
      <c r="B28" s="7">
        <v>1021</v>
      </c>
      <c r="C28" s="7" t="s">
        <v>114</v>
      </c>
      <c r="D28" s="7" t="s">
        <v>62</v>
      </c>
      <c r="E28" s="7" t="s">
        <v>58</v>
      </c>
      <c r="F28" s="7" t="s">
        <v>59</v>
      </c>
      <c r="G28" s="7">
        <v>4</v>
      </c>
      <c r="H28" s="7">
        <v>0</v>
      </c>
      <c r="I28" s="7">
        <v>7</v>
      </c>
      <c r="K28" s="7">
        <v>100</v>
      </c>
      <c r="L28" s="7" t="s">
        <v>106</v>
      </c>
      <c r="M28" s="7" t="s">
        <v>115</v>
      </c>
      <c r="N28" s="7" t="s">
        <v>116</v>
      </c>
      <c r="O28" s="7">
        <v>1007</v>
      </c>
      <c r="P28" s="7" t="s">
        <v>106</v>
      </c>
      <c r="Q28" s="7" t="s">
        <v>117</v>
      </c>
      <c r="R28" s="7">
        <v>1021</v>
      </c>
    </row>
    <row r="29" s="7" customFormat="1" spans="1:18">
      <c r="A29" s="7" t="s">
        <v>106</v>
      </c>
      <c r="B29" s="7">
        <v>1022</v>
      </c>
      <c r="C29" s="7" t="s">
        <v>118</v>
      </c>
      <c r="D29" s="7" t="s">
        <v>65</v>
      </c>
      <c r="E29" s="7" t="s">
        <v>58</v>
      </c>
      <c r="F29" s="7" t="s">
        <v>59</v>
      </c>
      <c r="G29" s="7">
        <v>0</v>
      </c>
      <c r="H29" s="7">
        <v>1</v>
      </c>
      <c r="I29" s="7">
        <v>6</v>
      </c>
      <c r="K29" s="7">
        <v>100</v>
      </c>
      <c r="L29" s="7" t="s">
        <v>106</v>
      </c>
      <c r="M29" s="7" t="s">
        <v>119</v>
      </c>
      <c r="N29" s="7" t="s">
        <v>72</v>
      </c>
      <c r="O29" s="7">
        <v>3002</v>
      </c>
      <c r="P29" s="7" t="s">
        <v>120</v>
      </c>
      <c r="Q29" s="7" t="s">
        <v>121</v>
      </c>
      <c r="R29" s="7">
        <v>1022</v>
      </c>
    </row>
    <row r="30" s="7" customFormat="1" spans="1:18">
      <c r="A30" s="7" t="s">
        <v>106</v>
      </c>
      <c r="B30" s="7">
        <v>1023</v>
      </c>
      <c r="C30" s="7" t="s">
        <v>122</v>
      </c>
      <c r="D30" s="7" t="s">
        <v>69</v>
      </c>
      <c r="E30" s="7" t="s">
        <v>58</v>
      </c>
      <c r="F30" s="7" t="s">
        <v>59</v>
      </c>
      <c r="G30" s="7">
        <v>3</v>
      </c>
      <c r="H30" s="7">
        <v>0</v>
      </c>
      <c r="I30" s="7">
        <v>6</v>
      </c>
      <c r="K30" s="7">
        <v>100</v>
      </c>
      <c r="L30" s="7" t="s">
        <v>106</v>
      </c>
      <c r="M30" s="7" t="s">
        <v>123</v>
      </c>
      <c r="N30" s="7" t="s">
        <v>72</v>
      </c>
      <c r="O30" s="7">
        <v>2001</v>
      </c>
      <c r="P30" s="7" t="s">
        <v>106</v>
      </c>
      <c r="Q30" s="7" t="s">
        <v>106</v>
      </c>
      <c r="R30" s="7">
        <v>1023</v>
      </c>
    </row>
    <row r="31" s="7" customFormat="1" spans="1:18">
      <c r="A31" s="7" t="s">
        <v>106</v>
      </c>
      <c r="B31" s="7">
        <v>1024</v>
      </c>
      <c r="C31" s="7" t="s">
        <v>124</v>
      </c>
      <c r="D31" s="7" t="s">
        <v>69</v>
      </c>
      <c r="E31" s="7" t="s">
        <v>58</v>
      </c>
      <c r="F31" s="7" t="s">
        <v>59</v>
      </c>
      <c r="G31" s="7">
        <v>0</v>
      </c>
      <c r="H31" s="7">
        <v>1</v>
      </c>
      <c r="I31" s="7">
        <v>3</v>
      </c>
      <c r="K31" s="7">
        <v>100</v>
      </c>
      <c r="L31" s="7" t="s">
        <v>106</v>
      </c>
      <c r="M31" s="7" t="s">
        <v>125</v>
      </c>
      <c r="N31" s="7" t="s">
        <v>72</v>
      </c>
      <c r="O31" s="7">
        <v>4001</v>
      </c>
      <c r="P31" s="7" t="s">
        <v>106</v>
      </c>
      <c r="Q31" s="7" t="s">
        <v>126</v>
      </c>
      <c r="R31" s="7">
        <v>1024</v>
      </c>
    </row>
    <row r="32" s="7" customFormat="1" spans="1:18">
      <c r="A32" s="7" t="s">
        <v>106</v>
      </c>
      <c r="B32" s="7">
        <v>1025</v>
      </c>
      <c r="C32" s="7" t="s">
        <v>127</v>
      </c>
      <c r="D32" s="7" t="s">
        <v>57</v>
      </c>
      <c r="E32" s="7" t="s">
        <v>58</v>
      </c>
      <c r="F32" s="7" t="s">
        <v>59</v>
      </c>
      <c r="G32" s="7">
        <v>0</v>
      </c>
      <c r="H32" s="7">
        <v>0</v>
      </c>
      <c r="I32" s="7">
        <v>6</v>
      </c>
      <c r="K32" s="7">
        <v>100</v>
      </c>
      <c r="L32" s="7" t="s">
        <v>106</v>
      </c>
      <c r="M32" s="7" t="s">
        <v>128</v>
      </c>
      <c r="N32" s="7" t="s">
        <v>72</v>
      </c>
      <c r="O32" s="7">
        <v>3001</v>
      </c>
      <c r="P32" s="7" t="s">
        <v>106</v>
      </c>
      <c r="Q32" s="7" t="s">
        <v>129</v>
      </c>
      <c r="R32" s="7">
        <v>1025</v>
      </c>
    </row>
    <row r="33" s="7" customFormat="1" spans="1:18">
      <c r="A33" s="7" t="s">
        <v>106</v>
      </c>
      <c r="B33" s="7">
        <v>1026</v>
      </c>
      <c r="C33" s="7" t="s">
        <v>130</v>
      </c>
      <c r="D33" s="7" t="s">
        <v>69</v>
      </c>
      <c r="E33" s="7" t="s">
        <v>58</v>
      </c>
      <c r="F33" s="7" t="s">
        <v>111</v>
      </c>
      <c r="G33" s="7">
        <v>0</v>
      </c>
      <c r="H33" s="7">
        <v>0</v>
      </c>
      <c r="I33" s="7">
        <v>2</v>
      </c>
      <c r="K33" s="7">
        <v>100</v>
      </c>
      <c r="L33" s="7" t="s">
        <v>106</v>
      </c>
      <c r="M33" s="7" t="s">
        <v>131</v>
      </c>
      <c r="N33" s="7" t="s">
        <v>72</v>
      </c>
      <c r="O33" s="7">
        <v>1003</v>
      </c>
      <c r="P33" s="7" t="s">
        <v>106</v>
      </c>
      <c r="Q33" s="7" t="s">
        <v>132</v>
      </c>
      <c r="R33" s="7">
        <v>1026</v>
      </c>
    </row>
    <row r="34" s="7" customFormat="1" spans="1:18">
      <c r="A34" s="7" t="s">
        <v>106</v>
      </c>
      <c r="B34" s="7">
        <v>1027</v>
      </c>
      <c r="C34" s="7" t="s">
        <v>133</v>
      </c>
      <c r="D34" s="7" t="s">
        <v>57</v>
      </c>
      <c r="E34" s="7" t="s">
        <v>58</v>
      </c>
      <c r="F34" s="7" t="s">
        <v>59</v>
      </c>
      <c r="G34" s="7">
        <v>0</v>
      </c>
      <c r="H34" s="7">
        <v>0</v>
      </c>
      <c r="I34" s="7">
        <v>4</v>
      </c>
      <c r="K34" s="7">
        <v>100</v>
      </c>
      <c r="L34" s="7" t="s">
        <v>106</v>
      </c>
      <c r="M34" s="7" t="s">
        <v>134</v>
      </c>
      <c r="N34" s="7" t="s">
        <v>72</v>
      </c>
      <c r="O34" s="7">
        <v>20001</v>
      </c>
      <c r="P34" s="7" t="s">
        <v>106</v>
      </c>
      <c r="Q34" s="7" t="s">
        <v>135</v>
      </c>
      <c r="R34" s="7">
        <v>1027</v>
      </c>
    </row>
    <row r="35" s="7" customFormat="1" spans="1:18">
      <c r="A35" s="7" t="s">
        <v>106</v>
      </c>
      <c r="B35" s="7">
        <v>1028</v>
      </c>
      <c r="C35" s="7" t="s">
        <v>136</v>
      </c>
      <c r="D35" s="7" t="s">
        <v>69</v>
      </c>
      <c r="E35" s="7" t="s">
        <v>58</v>
      </c>
      <c r="F35" s="7" t="s">
        <v>137</v>
      </c>
      <c r="G35" s="7">
        <v>0</v>
      </c>
      <c r="H35" s="7">
        <v>2</v>
      </c>
      <c r="I35" s="7">
        <v>5</v>
      </c>
      <c r="K35" s="7">
        <v>100</v>
      </c>
      <c r="L35" s="7" t="s">
        <v>106</v>
      </c>
      <c r="M35" s="7" t="s">
        <v>138</v>
      </c>
      <c r="N35" s="7" t="s">
        <v>72</v>
      </c>
      <c r="O35" s="7">
        <v>4002</v>
      </c>
      <c r="P35" s="7" t="s">
        <v>106</v>
      </c>
      <c r="Q35" s="7" t="s">
        <v>139</v>
      </c>
      <c r="R35" s="7">
        <v>1028</v>
      </c>
    </row>
    <row r="36" s="7" customFormat="1" spans="1:18">
      <c r="A36" s="7" t="s">
        <v>106</v>
      </c>
      <c r="B36" s="7">
        <v>1029</v>
      </c>
      <c r="C36" s="7" t="s">
        <v>140</v>
      </c>
      <c r="D36" s="7" t="s">
        <v>141</v>
      </c>
      <c r="E36" s="7" t="s">
        <v>142</v>
      </c>
      <c r="F36" s="7" t="s">
        <v>111</v>
      </c>
      <c r="G36" s="7">
        <v>0</v>
      </c>
      <c r="H36" s="7">
        <v>2</v>
      </c>
      <c r="I36" s="7">
        <v>4</v>
      </c>
      <c r="J36" s="7">
        <v>2</v>
      </c>
      <c r="K36" s="7">
        <v>100</v>
      </c>
      <c r="L36" s="7" t="s">
        <v>106</v>
      </c>
      <c r="M36" s="7" t="s">
        <v>143</v>
      </c>
      <c r="N36" s="7" t="s">
        <v>144</v>
      </c>
      <c r="O36" s="7">
        <v>20002</v>
      </c>
      <c r="P36" s="7" t="s">
        <v>106</v>
      </c>
      <c r="Q36" s="7" t="s">
        <v>145</v>
      </c>
      <c r="R36" s="7">
        <v>1029</v>
      </c>
    </row>
    <row r="37" s="7" customFormat="1" spans="1:18">
      <c r="A37" s="7" t="s">
        <v>106</v>
      </c>
      <c r="B37" s="7">
        <v>1030</v>
      </c>
      <c r="C37" s="7" t="s">
        <v>146</v>
      </c>
      <c r="D37" s="7" t="s">
        <v>62</v>
      </c>
      <c r="E37" s="7" t="s">
        <v>58</v>
      </c>
      <c r="F37" s="7" t="s">
        <v>111</v>
      </c>
      <c r="G37" s="7">
        <v>0</v>
      </c>
      <c r="H37" s="7">
        <v>2</v>
      </c>
      <c r="I37" s="7">
        <v>5</v>
      </c>
      <c r="K37" s="7">
        <v>100</v>
      </c>
      <c r="L37" s="7" t="s">
        <v>106</v>
      </c>
      <c r="M37" s="7" t="s">
        <v>147</v>
      </c>
      <c r="N37" s="7" t="s">
        <v>72</v>
      </c>
      <c r="O37" s="7">
        <v>10003</v>
      </c>
      <c r="P37" s="7" t="s">
        <v>106</v>
      </c>
      <c r="Q37" s="7" t="s">
        <v>148</v>
      </c>
      <c r="R37" s="7">
        <v>1030</v>
      </c>
    </row>
    <row r="38" s="7" customFormat="1" spans="1:18">
      <c r="A38" s="7" t="s">
        <v>106</v>
      </c>
      <c r="B38" s="7">
        <v>1031</v>
      </c>
      <c r="C38" s="7" t="s">
        <v>149</v>
      </c>
      <c r="D38" s="7" t="s">
        <v>57</v>
      </c>
      <c r="E38" s="7" t="s">
        <v>58</v>
      </c>
      <c r="F38" s="7" t="s">
        <v>111</v>
      </c>
      <c r="G38" s="7">
        <v>1</v>
      </c>
      <c r="H38" s="7">
        <v>0</v>
      </c>
      <c r="I38" s="7">
        <v>1</v>
      </c>
      <c r="K38" s="7">
        <v>100</v>
      </c>
      <c r="L38" s="7" t="s">
        <v>106</v>
      </c>
      <c r="M38" s="7" t="s">
        <v>106</v>
      </c>
      <c r="N38" s="7" t="s">
        <v>106</v>
      </c>
      <c r="O38" s="7" t="s">
        <v>106</v>
      </c>
      <c r="P38" s="7" t="s">
        <v>106</v>
      </c>
      <c r="Q38" s="7" t="s">
        <v>150</v>
      </c>
      <c r="R38" s="7">
        <v>1031</v>
      </c>
    </row>
    <row r="39" customFormat="1" spans="1:18">
      <c r="B39">
        <v>9001</v>
      </c>
      <c r="C39" t="s">
        <v>151</v>
      </c>
      <c r="D39" t="s">
        <v>57</v>
      </c>
      <c r="E39" t="s">
        <v>58</v>
      </c>
      <c r="F39" t="s">
        <v>59</v>
      </c>
      <c r="G39">
        <v>99</v>
      </c>
      <c r="H39">
        <v>0</v>
      </c>
      <c r="I39">
        <v>1</v>
      </c>
      <c r="K39">
        <v>100</v>
      </c>
      <c r="R39">
        <v>1001</v>
      </c>
    </row>
    <row r="40" customFormat="1" spans="1:18">
      <c r="B40">
        <v>9002</v>
      </c>
      <c r="C40" t="s">
        <v>152</v>
      </c>
      <c r="D40" t="s">
        <v>57</v>
      </c>
      <c r="E40" t="s">
        <v>58</v>
      </c>
      <c r="F40" t="s">
        <v>59</v>
      </c>
      <c r="G40">
        <v>0</v>
      </c>
      <c r="H40">
        <v>99</v>
      </c>
      <c r="I40">
        <v>1</v>
      </c>
      <c r="K40">
        <v>100</v>
      </c>
      <c r="R40">
        <v>1002</v>
      </c>
    </row>
    <row r="41" spans="1:18">
      <c r="B41">
        <v>9003</v>
      </c>
      <c r="C41" t="s">
        <v>153</v>
      </c>
      <c r="D41" t="s">
        <v>57</v>
      </c>
      <c r="E41" t="s">
        <v>58</v>
      </c>
      <c r="F41" t="s">
        <v>59</v>
      </c>
      <c r="G41">
        <v>0</v>
      </c>
      <c r="H41">
        <v>99</v>
      </c>
      <c r="I41">
        <v>1</v>
      </c>
      <c r="K41">
        <v>100</v>
      </c>
      <c r="M41" t="s">
        <v>154</v>
      </c>
      <c r="N41" t="s">
        <v>72</v>
      </c>
      <c r="O41">
        <v>90001</v>
      </c>
      <c r="R41">
        <v>1001</v>
      </c>
    </row>
    <row r="43" spans="1:18">
      <c r="M43" s="1"/>
    </row>
  </sheetData>
  <mergeCells count="4">
    <mergeCell ref="N1:P1"/>
    <mergeCell ref="N2:P2"/>
    <mergeCell ref="N3:P3"/>
    <mergeCell ref="N6:P6"/>
  </mergeCells>
  <dataValidations count="4">
    <dataValidation type="list" allowBlank="1" showInputMessage="1" showErrorMessage="1" sqref="N7 N39 N13:N14 N19:N25">
      <formula1>枚举!$E$3:$E$11</formula1>
    </dataValidation>
    <dataValidation type="list" allowBlank="1" showInputMessage="1" showErrorMessage="1" sqref="D7:D41">
      <formula1>枚举!$C$3:$C$7</formula1>
    </dataValidation>
    <dataValidation type="list" allowBlank="1" showInputMessage="1" showErrorMessage="1" sqref="E7:E21 E23:E41">
      <formula1>枚举!$G$3:$G$6</formula1>
    </dataValidation>
    <dataValidation type="list" allowBlank="1" showInputMessage="1" showErrorMessage="1" sqref="F7:F41">
      <formula1>枚举!$I$3:$I$12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opLeftCell="A7" workbookViewId="0">
      <selection activeCell="A17" sqref="$A17:$XFD17"/>
    </sheetView>
  </sheetViews>
  <sheetFormatPr defaultColWidth="8.66666666666667" defaultRowHeight="17.4"/>
  <cols>
    <col min="3" max="3" width="12" customWidth="1"/>
    <col min="4" max="4" width="12.5" customWidth="1"/>
    <col min="5" max="6" width="10.0833333333333" customWidth="1"/>
    <col min="7" max="8" width="4.58333333333333" customWidth="1"/>
    <col min="9" max="9" width="13.75" customWidth="1"/>
    <col min="10" max="10" width="15.8333333333333" customWidth="1"/>
    <col min="11" max="11" width="27" customWidth="1"/>
    <col min="12" max="12" width="27.5" customWidth="1"/>
    <col min="13" max="13" width="50.9166666666667" customWidth="1"/>
    <col min="14" max="14" width="20.5" customWidth="1"/>
    <col min="15" max="15" width="105" customWidth="1"/>
    <col min="16" max="16" width="13.0833333333333" customWidth="1"/>
  </cols>
  <sheetData>
    <row r="1" spans="1:16">
      <c r="A1" s="20"/>
      <c r="B1" t="s">
        <v>11</v>
      </c>
      <c r="C1" t="s">
        <v>12</v>
      </c>
      <c r="D1" t="s">
        <v>155</v>
      </c>
      <c r="E1" t="s">
        <v>156</v>
      </c>
      <c r="F1" t="s">
        <v>157</v>
      </c>
      <c r="G1" t="s">
        <v>16</v>
      </c>
      <c r="H1" t="s">
        <v>17</v>
      </c>
      <c r="I1" t="s">
        <v>18</v>
      </c>
      <c r="J1" t="s">
        <v>20</v>
      </c>
      <c r="L1" t="s">
        <v>158</v>
      </c>
      <c r="N1" t="s">
        <v>159</v>
      </c>
      <c r="P1" t="s">
        <v>22</v>
      </c>
    </row>
    <row r="2" spans="1:16">
      <c r="A2" s="20"/>
      <c r="B2" t="s">
        <v>24</v>
      </c>
      <c r="C2" t="s">
        <v>25</v>
      </c>
      <c r="D2" t="s">
        <v>160</v>
      </c>
      <c r="E2" t="s">
        <v>161</v>
      </c>
      <c r="F2" t="s">
        <v>162</v>
      </c>
      <c r="G2" t="s">
        <v>24</v>
      </c>
      <c r="H2" t="s">
        <v>24</v>
      </c>
      <c r="I2" t="s">
        <v>24</v>
      </c>
      <c r="J2" t="s">
        <v>24</v>
      </c>
      <c r="L2" t="s">
        <v>163</v>
      </c>
      <c r="N2" t="s">
        <v>164</v>
      </c>
      <c r="P2" t="s">
        <v>24</v>
      </c>
    </row>
    <row r="3" ht="70" customHeight="1" spans="1:16">
      <c r="A3" s="20"/>
      <c r="E3" s="1" t="s">
        <v>31</v>
      </c>
      <c r="F3" s="1"/>
      <c r="I3" s="1" t="s">
        <v>32</v>
      </c>
      <c r="J3" s="1" t="s">
        <v>34</v>
      </c>
      <c r="K3" s="1" t="s">
        <v>35</v>
      </c>
      <c r="L3" s="1"/>
      <c r="M3" s="1" t="s">
        <v>35</v>
      </c>
      <c r="N3" s="1"/>
    </row>
    <row r="4" s="7" customFormat="1" spans="1:16">
      <c r="A4" s="2" t="s">
        <v>30</v>
      </c>
      <c r="B4" s="2" t="s">
        <v>11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50</v>
      </c>
      <c r="K4" s="2" t="s">
        <v>51</v>
      </c>
      <c r="L4" s="2" t="s">
        <v>165</v>
      </c>
      <c r="M4" s="2" t="s">
        <v>52</v>
      </c>
      <c r="N4" s="2" t="s">
        <v>166</v>
      </c>
      <c r="O4" s="2" t="s">
        <v>54</v>
      </c>
      <c r="P4" s="2" t="s">
        <v>55</v>
      </c>
    </row>
    <row r="5" spans="1:16">
      <c r="B5">
        <v>1001</v>
      </c>
      <c r="C5" t="s">
        <v>56</v>
      </c>
      <c r="D5" t="s">
        <v>57</v>
      </c>
      <c r="E5" t="s">
        <v>58</v>
      </c>
      <c r="F5" t="s">
        <v>59</v>
      </c>
      <c r="G5">
        <v>1</v>
      </c>
      <c r="H5">
        <v>0</v>
      </c>
      <c r="I5">
        <v>1</v>
      </c>
      <c r="J5">
        <v>100</v>
      </c>
    </row>
    <row r="6" spans="1:16">
      <c r="B6">
        <v>1002</v>
      </c>
      <c r="C6" t="s">
        <v>60</v>
      </c>
      <c r="D6" t="s">
        <v>57</v>
      </c>
      <c r="E6" t="s">
        <v>58</v>
      </c>
      <c r="F6" t="s">
        <v>59</v>
      </c>
      <c r="G6">
        <v>0</v>
      </c>
      <c r="H6">
        <v>1</v>
      </c>
      <c r="I6">
        <v>1</v>
      </c>
      <c r="J6">
        <v>100</v>
      </c>
    </row>
    <row r="7" spans="1:16">
      <c r="B7">
        <v>1003</v>
      </c>
      <c r="C7" t="s">
        <v>167</v>
      </c>
      <c r="D7" t="s">
        <v>62</v>
      </c>
      <c r="E7" t="s">
        <v>58</v>
      </c>
      <c r="F7" t="s">
        <v>59</v>
      </c>
      <c r="G7">
        <v>2</v>
      </c>
      <c r="H7">
        <v>0</v>
      </c>
      <c r="I7">
        <v>2</v>
      </c>
      <c r="J7">
        <v>100</v>
      </c>
    </row>
    <row r="8" spans="1:16">
      <c r="B8">
        <v>1004</v>
      </c>
      <c r="C8" t="s">
        <v>168</v>
      </c>
      <c r="D8" t="s">
        <v>62</v>
      </c>
      <c r="E8" t="s">
        <v>58</v>
      </c>
      <c r="F8" t="s">
        <v>59</v>
      </c>
      <c r="G8">
        <v>0</v>
      </c>
      <c r="H8">
        <v>2</v>
      </c>
      <c r="I8">
        <v>3</v>
      </c>
      <c r="J8">
        <v>100</v>
      </c>
    </row>
    <row r="9" spans="1:16">
      <c r="B9">
        <v>1005</v>
      </c>
      <c r="C9" t="s">
        <v>64</v>
      </c>
      <c r="D9" t="s">
        <v>65</v>
      </c>
      <c r="E9" t="s">
        <v>58</v>
      </c>
      <c r="F9" t="s">
        <v>59</v>
      </c>
      <c r="G9">
        <v>0</v>
      </c>
      <c r="H9">
        <v>3</v>
      </c>
      <c r="I9">
        <v>3</v>
      </c>
      <c r="J9">
        <v>100</v>
      </c>
    </row>
    <row r="10" spans="1:16">
      <c r="B10">
        <v>1006</v>
      </c>
      <c r="C10" t="s">
        <v>169</v>
      </c>
      <c r="D10" t="s">
        <v>65</v>
      </c>
      <c r="E10" t="s">
        <v>58</v>
      </c>
      <c r="F10" t="s">
        <v>59</v>
      </c>
      <c r="G10">
        <v>5</v>
      </c>
      <c r="H10">
        <v>0</v>
      </c>
      <c r="I10">
        <v>6</v>
      </c>
      <c r="J10">
        <v>100</v>
      </c>
      <c r="K10" t="s">
        <v>67</v>
      </c>
    </row>
    <row r="11" spans="1:16">
      <c r="B11">
        <v>1007</v>
      </c>
      <c r="C11" t="s">
        <v>170</v>
      </c>
      <c r="D11" t="s">
        <v>69</v>
      </c>
      <c r="E11" t="s">
        <v>58</v>
      </c>
      <c r="F11" t="s">
        <v>59</v>
      </c>
      <c r="G11">
        <v>0</v>
      </c>
      <c r="H11">
        <v>2</v>
      </c>
      <c r="I11">
        <v>7</v>
      </c>
      <c r="J11">
        <v>100</v>
      </c>
      <c r="K11" t="s">
        <v>70</v>
      </c>
      <c r="L11" t="s">
        <v>72</v>
      </c>
      <c r="M11" t="s">
        <v>71</v>
      </c>
    </row>
    <row r="12" spans="1:16">
      <c r="B12">
        <v>1008</v>
      </c>
      <c r="C12" t="s">
        <v>73</v>
      </c>
      <c r="D12" t="s">
        <v>69</v>
      </c>
      <c r="E12" t="s">
        <v>74</v>
      </c>
      <c r="F12" t="s">
        <v>59</v>
      </c>
      <c r="G12">
        <v>0</v>
      </c>
      <c r="H12">
        <v>1</v>
      </c>
      <c r="I12">
        <v>6</v>
      </c>
      <c r="J12">
        <v>100</v>
      </c>
      <c r="L12" t="s">
        <v>171</v>
      </c>
      <c r="M12" t="s">
        <v>75</v>
      </c>
      <c r="O12" t="s">
        <v>76</v>
      </c>
    </row>
    <row r="13" spans="1:16">
      <c r="B13">
        <v>1009</v>
      </c>
      <c r="C13" t="s">
        <v>77</v>
      </c>
      <c r="D13" t="s">
        <v>62</v>
      </c>
      <c r="E13" t="s">
        <v>58</v>
      </c>
      <c r="F13" t="s">
        <v>59</v>
      </c>
      <c r="G13">
        <v>2</v>
      </c>
      <c r="H13">
        <v>0</v>
      </c>
      <c r="I13">
        <v>4</v>
      </c>
      <c r="J13">
        <v>100</v>
      </c>
      <c r="O13" t="s">
        <v>78</v>
      </c>
    </row>
    <row r="14" spans="1:16">
      <c r="B14">
        <v>1010</v>
      </c>
      <c r="C14" t="s">
        <v>79</v>
      </c>
      <c r="D14" t="s">
        <v>62</v>
      </c>
      <c r="E14" t="s">
        <v>58</v>
      </c>
      <c r="F14" t="s">
        <v>59</v>
      </c>
      <c r="G14">
        <v>5</v>
      </c>
      <c r="H14">
        <v>0</v>
      </c>
      <c r="I14">
        <v>5</v>
      </c>
      <c r="J14">
        <v>100</v>
      </c>
      <c r="K14" t="s">
        <v>80</v>
      </c>
    </row>
    <row r="15" spans="1:16">
      <c r="B15">
        <v>1011</v>
      </c>
      <c r="C15" t="s">
        <v>81</v>
      </c>
      <c r="D15" t="s">
        <v>57</v>
      </c>
      <c r="E15" t="s">
        <v>58</v>
      </c>
      <c r="F15" t="s">
        <v>59</v>
      </c>
      <c r="G15">
        <v>7</v>
      </c>
      <c r="H15">
        <v>0</v>
      </c>
      <c r="I15">
        <v>5</v>
      </c>
      <c r="J15">
        <v>100</v>
      </c>
      <c r="O15" t="s">
        <v>82</v>
      </c>
    </row>
    <row r="16" spans="1:16">
      <c r="B16">
        <v>1012</v>
      </c>
      <c r="C16" t="s">
        <v>84</v>
      </c>
      <c r="D16" t="s">
        <v>69</v>
      </c>
      <c r="E16" t="s">
        <v>74</v>
      </c>
      <c r="F16" t="s">
        <v>59</v>
      </c>
      <c r="G16">
        <v>0</v>
      </c>
      <c r="H16">
        <v>1</v>
      </c>
      <c r="I16">
        <v>6</v>
      </c>
      <c r="J16">
        <v>100</v>
      </c>
      <c r="L16" t="s">
        <v>172</v>
      </c>
      <c r="M16" t="s">
        <v>85</v>
      </c>
      <c r="O16" t="s">
        <v>86</v>
      </c>
    </row>
    <row r="17" spans="2:15">
      <c r="B17">
        <v>1013</v>
      </c>
      <c r="C17" t="s">
        <v>87</v>
      </c>
      <c r="D17" t="s">
        <v>65</v>
      </c>
      <c r="E17" t="s">
        <v>58</v>
      </c>
      <c r="F17" t="s">
        <v>59</v>
      </c>
      <c r="G17">
        <v>7</v>
      </c>
      <c r="H17">
        <v>0</v>
      </c>
      <c r="I17">
        <v>5</v>
      </c>
      <c r="J17">
        <v>100</v>
      </c>
      <c r="L17" t="s">
        <v>72</v>
      </c>
      <c r="M17" t="s">
        <v>173</v>
      </c>
      <c r="O17" t="s">
        <v>89</v>
      </c>
    </row>
    <row r="18" spans="2:15">
      <c r="B18">
        <v>1014</v>
      </c>
      <c r="C18" t="s">
        <v>90</v>
      </c>
      <c r="D18" t="s">
        <v>69</v>
      </c>
      <c r="E18" t="s">
        <v>58</v>
      </c>
      <c r="F18" t="s">
        <v>59</v>
      </c>
      <c r="G18">
        <v>0</v>
      </c>
      <c r="H18">
        <v>0</v>
      </c>
      <c r="I18">
        <v>4</v>
      </c>
      <c r="J18">
        <v>100</v>
      </c>
      <c r="L18" t="s">
        <v>72</v>
      </c>
      <c r="M18" t="s">
        <v>91</v>
      </c>
      <c r="O18" t="s">
        <v>92</v>
      </c>
    </row>
    <row r="19" spans="2:15">
      <c r="B19">
        <v>1015</v>
      </c>
      <c r="C19" t="s">
        <v>93</v>
      </c>
      <c r="D19" t="s">
        <v>69</v>
      </c>
      <c r="E19" t="s">
        <v>74</v>
      </c>
      <c r="F19" t="s">
        <v>59</v>
      </c>
      <c r="G19">
        <v>0</v>
      </c>
      <c r="H19">
        <v>1</v>
      </c>
      <c r="I19">
        <v>4</v>
      </c>
      <c r="J19">
        <v>100</v>
      </c>
      <c r="L19" t="s">
        <v>172</v>
      </c>
      <c r="M19" t="s">
        <v>174</v>
      </c>
    </row>
    <row r="20" spans="2:15">
      <c r="B20">
        <v>1016</v>
      </c>
      <c r="C20" t="s">
        <v>95</v>
      </c>
      <c r="D20" t="s">
        <v>69</v>
      </c>
      <c r="E20" t="s">
        <v>58</v>
      </c>
      <c r="F20" t="s">
        <v>96</v>
      </c>
      <c r="G20">
        <v>2</v>
      </c>
      <c r="H20">
        <v>0</v>
      </c>
      <c r="I20">
        <v>4</v>
      </c>
      <c r="J20">
        <v>100</v>
      </c>
      <c r="L20" t="s">
        <v>72</v>
      </c>
      <c r="M20" t="s">
        <v>97</v>
      </c>
    </row>
    <row r="21" spans="2:15">
      <c r="B21">
        <v>1017</v>
      </c>
      <c r="C21" t="s">
        <v>98</v>
      </c>
      <c r="D21" t="s">
        <v>65</v>
      </c>
      <c r="E21" t="s">
        <v>58</v>
      </c>
      <c r="F21" t="s">
        <v>59</v>
      </c>
      <c r="G21">
        <v>0</v>
      </c>
      <c r="H21">
        <v>4</v>
      </c>
      <c r="I21">
        <v>5</v>
      </c>
      <c r="J21">
        <v>100</v>
      </c>
      <c r="K21" t="s">
        <v>99</v>
      </c>
      <c r="L21" t="s">
        <v>72</v>
      </c>
      <c r="M21" t="s">
        <v>100</v>
      </c>
      <c r="O21" t="s">
        <v>101</v>
      </c>
    </row>
    <row r="22" spans="2:15">
      <c r="B22">
        <v>1018</v>
      </c>
      <c r="C22" t="s">
        <v>102</v>
      </c>
      <c r="D22" t="s">
        <v>57</v>
      </c>
      <c r="E22" t="s">
        <v>58</v>
      </c>
      <c r="F22" t="s">
        <v>103</v>
      </c>
      <c r="G22">
        <v>7</v>
      </c>
      <c r="H22">
        <v>0</v>
      </c>
      <c r="I22">
        <v>5</v>
      </c>
      <c r="J22">
        <v>100</v>
      </c>
      <c r="L22" t="s">
        <v>72</v>
      </c>
      <c r="M22" t="s">
        <v>175</v>
      </c>
      <c r="O22" t="s">
        <v>105</v>
      </c>
    </row>
    <row r="23" spans="2:15">
      <c r="B23">
        <v>1019</v>
      </c>
      <c r="C23" t="s">
        <v>107</v>
      </c>
      <c r="D23" t="s">
        <v>65</v>
      </c>
      <c r="E23" t="s">
        <v>58</v>
      </c>
      <c r="F23" t="s">
        <v>103</v>
      </c>
      <c r="G23">
        <v>3</v>
      </c>
      <c r="H23">
        <v>0</v>
      </c>
      <c r="I23">
        <v>7</v>
      </c>
      <c r="J23">
        <v>100</v>
      </c>
      <c r="L23" t="s">
        <v>176</v>
      </c>
      <c r="M23" t="s">
        <v>177</v>
      </c>
    </row>
    <row r="24" spans="2:15">
      <c r="B24">
        <v>1020</v>
      </c>
      <c r="C24" t="s">
        <v>110</v>
      </c>
      <c r="D24" t="s">
        <v>62</v>
      </c>
      <c r="E24" t="s">
        <v>58</v>
      </c>
      <c r="F24" t="s">
        <v>111</v>
      </c>
      <c r="G24">
        <v>4</v>
      </c>
      <c r="H24">
        <v>0</v>
      </c>
      <c r="I24">
        <v>7</v>
      </c>
      <c r="J24">
        <v>100</v>
      </c>
      <c r="L24" t="s">
        <v>178</v>
      </c>
      <c r="M24" t="s">
        <v>179</v>
      </c>
      <c r="O24" t="s">
        <v>180</v>
      </c>
    </row>
    <row r="25" spans="2:15">
      <c r="B25">
        <v>1021</v>
      </c>
      <c r="C25" t="s">
        <v>114</v>
      </c>
      <c r="D25" t="s">
        <v>62</v>
      </c>
      <c r="E25" t="s">
        <v>58</v>
      </c>
      <c r="F25" t="s">
        <v>59</v>
      </c>
      <c r="G25">
        <v>4</v>
      </c>
      <c r="H25">
        <v>0</v>
      </c>
      <c r="I25">
        <v>7</v>
      </c>
      <c r="J25">
        <v>100</v>
      </c>
      <c r="L25" t="s">
        <v>116</v>
      </c>
      <c r="M25" t="s">
        <v>181</v>
      </c>
      <c r="O25" t="s">
        <v>117</v>
      </c>
    </row>
    <row r="26" spans="2:15">
      <c r="B26">
        <v>1022</v>
      </c>
      <c r="C26" t="s">
        <v>118</v>
      </c>
      <c r="D26" t="s">
        <v>65</v>
      </c>
      <c r="E26" t="s">
        <v>58</v>
      </c>
      <c r="F26" t="s">
        <v>59</v>
      </c>
      <c r="G26">
        <v>0</v>
      </c>
      <c r="H26">
        <v>1</v>
      </c>
      <c r="I26">
        <v>6</v>
      </c>
      <c r="J26">
        <v>100</v>
      </c>
      <c r="L26" t="s">
        <v>172</v>
      </c>
      <c r="M26" t="s">
        <v>182</v>
      </c>
      <c r="O26" t="s">
        <v>121</v>
      </c>
    </row>
    <row r="27" spans="2:15">
      <c r="B27">
        <v>1023</v>
      </c>
      <c r="C27" t="s">
        <v>122</v>
      </c>
      <c r="D27" t="s">
        <v>69</v>
      </c>
      <c r="E27" t="s">
        <v>58</v>
      </c>
      <c r="F27" t="s">
        <v>59</v>
      </c>
      <c r="G27">
        <v>3</v>
      </c>
      <c r="H27">
        <v>0</v>
      </c>
      <c r="I27">
        <v>6</v>
      </c>
      <c r="J27">
        <v>100</v>
      </c>
      <c r="L27" t="s">
        <v>183</v>
      </c>
      <c r="M27" t="s">
        <v>184</v>
      </c>
    </row>
    <row r="28" spans="2:15">
      <c r="B28">
        <v>1024</v>
      </c>
      <c r="C28" t="s">
        <v>124</v>
      </c>
      <c r="D28" t="s">
        <v>69</v>
      </c>
      <c r="E28" t="s">
        <v>58</v>
      </c>
      <c r="F28" t="s">
        <v>59</v>
      </c>
      <c r="G28">
        <v>0</v>
      </c>
      <c r="H28">
        <v>1</v>
      </c>
      <c r="I28">
        <v>3</v>
      </c>
      <c r="J28">
        <v>100</v>
      </c>
      <c r="L28" t="s">
        <v>72</v>
      </c>
      <c r="M28" t="s">
        <v>125</v>
      </c>
      <c r="O28" t="s">
        <v>126</v>
      </c>
    </row>
    <row r="29" spans="2:15">
      <c r="B29">
        <v>1025</v>
      </c>
      <c r="C29" t="s">
        <v>127</v>
      </c>
      <c r="D29" t="s">
        <v>57</v>
      </c>
      <c r="E29" t="s">
        <v>58</v>
      </c>
      <c r="F29" t="s">
        <v>59</v>
      </c>
      <c r="G29">
        <v>0</v>
      </c>
      <c r="H29">
        <v>0</v>
      </c>
      <c r="I29">
        <v>6</v>
      </c>
      <c r="J29">
        <v>100</v>
      </c>
      <c r="L29" t="s">
        <v>72</v>
      </c>
      <c r="M29" t="s">
        <v>128</v>
      </c>
      <c r="O29" t="s">
        <v>129</v>
      </c>
    </row>
    <row r="30" spans="2:15">
      <c r="B30">
        <v>1026</v>
      </c>
      <c r="C30" t="s">
        <v>130</v>
      </c>
      <c r="D30" t="s">
        <v>69</v>
      </c>
      <c r="E30" t="s">
        <v>58</v>
      </c>
      <c r="F30" t="s">
        <v>111</v>
      </c>
      <c r="G30">
        <v>0</v>
      </c>
      <c r="H30">
        <v>0</v>
      </c>
      <c r="I30">
        <v>2</v>
      </c>
      <c r="J30">
        <v>100</v>
      </c>
      <c r="L30" t="s">
        <v>72</v>
      </c>
      <c r="M30" t="s">
        <v>131</v>
      </c>
      <c r="O30" t="s">
        <v>185</v>
      </c>
    </row>
    <row r="31" spans="2:15">
      <c r="B31">
        <v>1027</v>
      </c>
      <c r="C31" t="s">
        <v>133</v>
      </c>
      <c r="D31" t="s">
        <v>57</v>
      </c>
      <c r="E31" t="s">
        <v>58</v>
      </c>
      <c r="F31" t="s">
        <v>59</v>
      </c>
      <c r="G31">
        <v>0</v>
      </c>
      <c r="H31">
        <v>0</v>
      </c>
      <c r="I31">
        <v>4</v>
      </c>
      <c r="J31">
        <v>100</v>
      </c>
      <c r="L31" t="s">
        <v>72</v>
      </c>
      <c r="M31" t="s">
        <v>134</v>
      </c>
      <c r="O31" t="s">
        <v>186</v>
      </c>
    </row>
    <row r="32" spans="2:15">
      <c r="B32">
        <v>1028</v>
      </c>
      <c r="C32" t="s">
        <v>136</v>
      </c>
      <c r="D32" t="s">
        <v>69</v>
      </c>
      <c r="E32" t="s">
        <v>58</v>
      </c>
      <c r="F32" t="s">
        <v>137</v>
      </c>
      <c r="G32">
        <v>0</v>
      </c>
      <c r="H32">
        <v>2</v>
      </c>
      <c r="I32">
        <v>5</v>
      </c>
      <c r="J32">
        <v>100</v>
      </c>
      <c r="L32" t="s">
        <v>72</v>
      </c>
      <c r="M32" t="s">
        <v>187</v>
      </c>
      <c r="O32" t="s">
        <v>139</v>
      </c>
    </row>
    <row r="33" spans="2:15">
      <c r="B33">
        <v>1029</v>
      </c>
      <c r="C33" t="s">
        <v>140</v>
      </c>
      <c r="D33" t="s">
        <v>141</v>
      </c>
      <c r="E33" t="s">
        <v>142</v>
      </c>
      <c r="F33" t="s">
        <v>111</v>
      </c>
      <c r="G33">
        <v>0</v>
      </c>
      <c r="H33">
        <v>2</v>
      </c>
      <c r="I33">
        <v>4</v>
      </c>
      <c r="J33">
        <v>100</v>
      </c>
      <c r="L33" t="s">
        <v>144</v>
      </c>
      <c r="M33" t="s">
        <v>188</v>
      </c>
      <c r="O33" t="s">
        <v>189</v>
      </c>
    </row>
    <row r="34" spans="2:15">
      <c r="B34">
        <v>1030</v>
      </c>
      <c r="C34" t="s">
        <v>146</v>
      </c>
      <c r="D34" t="s">
        <v>62</v>
      </c>
      <c r="E34" t="s">
        <v>58</v>
      </c>
      <c r="F34" t="s">
        <v>111</v>
      </c>
      <c r="G34">
        <v>0</v>
      </c>
      <c r="H34">
        <v>2</v>
      </c>
      <c r="I34">
        <v>5</v>
      </c>
      <c r="J34">
        <v>100</v>
      </c>
      <c r="L34" t="s">
        <v>72</v>
      </c>
      <c r="M34" t="s">
        <v>147</v>
      </c>
      <c r="O34" t="s">
        <v>190</v>
      </c>
    </row>
    <row r="35" spans="2:15">
      <c r="B35">
        <v>1031</v>
      </c>
      <c r="C35" t="s">
        <v>149</v>
      </c>
      <c r="D35" t="s">
        <v>57</v>
      </c>
      <c r="E35" t="s">
        <v>58</v>
      </c>
      <c r="F35" t="s">
        <v>111</v>
      </c>
      <c r="G35">
        <v>1</v>
      </c>
      <c r="H35">
        <v>0</v>
      </c>
      <c r="I35">
        <v>1</v>
      </c>
      <c r="J35">
        <v>100</v>
      </c>
      <c r="O35" t="s">
        <v>191</v>
      </c>
    </row>
  </sheetData>
  <dataValidations count="3">
    <dataValidation type="list" allowBlank="1" showInputMessage="1" showErrorMessage="1" sqref="D5:D35">
      <formula1>枚举!$C$3:$C$7</formula1>
    </dataValidation>
    <dataValidation type="list" allowBlank="1" showInputMessage="1" showErrorMessage="1" sqref="E5:E18 E20:E35">
      <formula1>枚举!$G$3:$G$6</formula1>
    </dataValidation>
    <dataValidation type="list" allowBlank="1" showInputMessage="1" showErrorMessage="1" sqref="F5:F35">
      <formula1>枚举!$I$3:$I$12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J27" sqref="J27"/>
    </sheetView>
  </sheetViews>
  <sheetFormatPr defaultColWidth="8.66666666666667" defaultRowHeight="17.4"/>
  <cols>
    <col min="1" max="1" width="6.91666666666667" customWidth="1"/>
    <col min="2" max="2" width="6.33333333333333" customWidth="1"/>
    <col min="3" max="8" width="5.25" customWidth="1"/>
    <col min="9" max="9" width="53.4166666666667" customWidth="1"/>
  </cols>
  <sheetData>
    <row r="1" spans="1:11">
      <c r="A1" s="8" t="s">
        <v>10</v>
      </c>
      <c r="B1" s="8" t="s">
        <v>11</v>
      </c>
      <c r="C1" s="3" t="s">
        <v>192</v>
      </c>
      <c r="D1" s="3"/>
      <c r="E1" s="3"/>
      <c r="F1" s="18" t="s">
        <v>193</v>
      </c>
      <c r="G1" s="18"/>
      <c r="H1" s="18"/>
      <c r="I1" s="8" t="s">
        <v>194</v>
      </c>
      <c r="J1" s="8"/>
      <c r="K1" s="8"/>
    </row>
    <row r="2" spans="1:11">
      <c r="A2" s="8" t="s">
        <v>23</v>
      </c>
      <c r="B2" s="8" t="s">
        <v>24</v>
      </c>
      <c r="C2" s="10" t="s">
        <v>195</v>
      </c>
      <c r="D2" s="10"/>
      <c r="E2" s="10"/>
      <c r="F2" s="10" t="s">
        <v>195</v>
      </c>
      <c r="G2" s="10"/>
      <c r="H2" s="10"/>
      <c r="I2" s="8"/>
      <c r="J2" s="8"/>
      <c r="K2" s="8"/>
    </row>
    <row r="3" spans="1:11">
      <c r="A3" s="8" t="s">
        <v>30</v>
      </c>
      <c r="B3" s="8"/>
      <c r="C3" s="10" t="s">
        <v>196</v>
      </c>
      <c r="D3" s="10" t="s">
        <v>197</v>
      </c>
      <c r="E3" s="10" t="s">
        <v>198</v>
      </c>
      <c r="F3" s="10" t="s">
        <v>199</v>
      </c>
      <c r="G3" s="10" t="s">
        <v>200</v>
      </c>
      <c r="H3" s="10" t="s">
        <v>201</v>
      </c>
      <c r="I3" s="8" t="s">
        <v>202</v>
      </c>
      <c r="J3" s="8"/>
      <c r="K3" s="8"/>
    </row>
    <row r="4" spans="1:11">
      <c r="A4" s="15" t="s">
        <v>30</v>
      </c>
      <c r="B4" s="15" t="s">
        <v>203</v>
      </c>
      <c r="C4" s="19" t="s">
        <v>204</v>
      </c>
      <c r="D4" s="3"/>
      <c r="E4" s="3"/>
      <c r="F4" s="18" t="s">
        <v>205</v>
      </c>
      <c r="G4" s="18"/>
      <c r="H4" s="18"/>
      <c r="I4" s="15" t="s">
        <v>206</v>
      </c>
      <c r="J4" s="8"/>
      <c r="K4" s="8"/>
    </row>
    <row r="5" spans="1:11">
      <c r="B5" s="8">
        <v>1001</v>
      </c>
      <c r="C5" s="8">
        <v>1003</v>
      </c>
      <c r="D5" s="8">
        <v>1005</v>
      </c>
      <c r="F5" s="8">
        <v>1006</v>
      </c>
      <c r="G5" s="8"/>
      <c r="H5" s="8"/>
      <c r="I5" s="8" t="s">
        <v>67</v>
      </c>
      <c r="J5" s="8"/>
      <c r="K5" s="8"/>
    </row>
    <row r="6" spans="1:11">
      <c r="B6" s="8">
        <v>1002</v>
      </c>
      <c r="C6" s="8">
        <v>1004</v>
      </c>
      <c r="D6" s="8">
        <v>1005</v>
      </c>
      <c r="F6" s="8">
        <v>1007</v>
      </c>
      <c r="G6" s="8"/>
      <c r="H6" s="8"/>
      <c r="I6" s="8" t="s">
        <v>70</v>
      </c>
      <c r="J6" s="8"/>
      <c r="K6" s="8"/>
    </row>
    <row r="7" spans="1:11">
      <c r="B7" s="8">
        <v>1003</v>
      </c>
      <c r="C7" s="8">
        <v>1012</v>
      </c>
      <c r="D7" s="8">
        <v>1015</v>
      </c>
      <c r="F7" s="8">
        <v>1017</v>
      </c>
      <c r="G7" s="8"/>
      <c r="H7" s="8"/>
      <c r="I7" s="8" t="s">
        <v>207</v>
      </c>
      <c r="J7" s="8"/>
      <c r="K7" s="8"/>
    </row>
    <row r="8" spans="1:11">
      <c r="B8" s="8">
        <v>1004</v>
      </c>
      <c r="C8" s="8">
        <v>1009</v>
      </c>
      <c r="D8" s="8">
        <v>1003</v>
      </c>
      <c r="E8" s="8"/>
      <c r="F8" s="8">
        <v>1009</v>
      </c>
      <c r="G8" s="8">
        <v>1010</v>
      </c>
      <c r="H8" s="8"/>
      <c r="I8" s="8" t="s">
        <v>80</v>
      </c>
      <c r="J8" s="8"/>
      <c r="K8" s="8"/>
    </row>
    <row r="9" spans="1:11">
      <c r="A9" s="8"/>
      <c r="B9" s="8"/>
      <c r="C9" s="8"/>
      <c r="D9" s="8"/>
      <c r="E9" s="8"/>
      <c r="F9" s="8"/>
      <c r="H9" s="8"/>
      <c r="I9" s="8"/>
      <c r="J9" s="8"/>
      <c r="K9" s="8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</sheetData>
  <mergeCells count="6">
    <mergeCell ref="C1:E1"/>
    <mergeCell ref="F1:H1"/>
    <mergeCell ref="C2:E2"/>
    <mergeCell ref="F2:H2"/>
    <mergeCell ref="C4:E4"/>
    <mergeCell ref="F4:H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8"/>
  <sheetViews>
    <sheetView topLeftCell="A89" workbookViewId="0">
      <selection activeCell="F118" sqref="F118"/>
    </sheetView>
  </sheetViews>
  <sheetFormatPr defaultColWidth="8.66666666666667" defaultRowHeight="17.4"/>
  <cols>
    <col min="2" max="2" width="11.9166666666667" customWidth="1"/>
    <col min="3" max="3" width="9.58333333333333" customWidth="1"/>
    <col min="4" max="4" width="55.25" customWidth="1"/>
    <col min="5" max="5" width="14.9166666666667" customWidth="1"/>
    <col min="6" max="6" width="14.0833333333333" customWidth="1"/>
    <col min="7" max="7" width="15.3333333333333" customWidth="1"/>
    <col min="8" max="8" width="15.5" customWidth="1"/>
  </cols>
  <sheetData>
    <row r="1" spans="1:9">
      <c r="A1" s="8" t="s">
        <v>10</v>
      </c>
      <c r="B1" s="8" t="s">
        <v>208</v>
      </c>
      <c r="C1" s="8" t="s">
        <v>12</v>
      </c>
      <c r="D1" s="8" t="s">
        <v>209</v>
      </c>
      <c r="E1" s="8" t="s">
        <v>210</v>
      </c>
      <c r="F1" s="8" t="s">
        <v>211</v>
      </c>
      <c r="G1" s="8" t="s">
        <v>212</v>
      </c>
      <c r="H1" s="8" t="s">
        <v>213</v>
      </c>
      <c r="I1" s="8"/>
    </row>
    <row r="2" spans="1:9">
      <c r="A2" s="8" t="s">
        <v>23</v>
      </c>
      <c r="B2" s="8" t="s">
        <v>24</v>
      </c>
      <c r="C2" s="8" t="s">
        <v>25</v>
      </c>
      <c r="D2" s="8" t="s">
        <v>25</v>
      </c>
      <c r="E2" s="8" t="s">
        <v>24</v>
      </c>
      <c r="F2" s="8" t="s">
        <v>24</v>
      </c>
      <c r="G2" s="8" t="s">
        <v>195</v>
      </c>
      <c r="H2" s="8"/>
      <c r="I2" s="8"/>
    </row>
    <row r="3" spans="1:9">
      <c r="A3" s="15" t="s">
        <v>30</v>
      </c>
      <c r="B3" s="15" t="s">
        <v>214</v>
      </c>
      <c r="C3" s="15" t="s">
        <v>215</v>
      </c>
      <c r="D3" s="15" t="s">
        <v>216</v>
      </c>
      <c r="E3" s="15" t="s">
        <v>217</v>
      </c>
      <c r="F3" s="15" t="s">
        <v>218</v>
      </c>
      <c r="G3" s="15" t="s">
        <v>219</v>
      </c>
      <c r="H3" s="15" t="s">
        <v>220</v>
      </c>
      <c r="I3" s="8"/>
    </row>
    <row r="4" spans="1:9">
      <c r="A4" s="8"/>
      <c r="B4" s="8">
        <v>1001</v>
      </c>
      <c r="C4" s="8" t="s">
        <v>221</v>
      </c>
      <c r="D4" s="8" t="s">
        <v>222</v>
      </c>
      <c r="E4" s="8">
        <v>0</v>
      </c>
      <c r="F4" s="8">
        <v>0</v>
      </c>
      <c r="G4" s="8">
        <v>1001</v>
      </c>
      <c r="H4" s="8" t="str">
        <f>LOOKUP(G4,PlayerCard!B:B,PlayerCard!C:C)</f>
        <v>民兵</v>
      </c>
      <c r="I4" s="8"/>
    </row>
    <row r="5" spans="1:9">
      <c r="A5" s="8"/>
      <c r="B5" s="8"/>
      <c r="E5" s="8"/>
      <c r="F5" s="8"/>
      <c r="G5" s="8">
        <v>1001</v>
      </c>
      <c r="H5" s="8" t="str">
        <f>LOOKUP(G5,PlayerCard!B:B,PlayerCard!C:C)</f>
        <v>民兵</v>
      </c>
      <c r="I5" s="8"/>
    </row>
    <row r="6" spans="1:9">
      <c r="A6" s="8"/>
      <c r="B6" s="8"/>
      <c r="E6" s="8"/>
      <c r="F6" s="8"/>
      <c r="G6" s="8">
        <v>1001</v>
      </c>
      <c r="H6" s="8" t="str">
        <f>LOOKUP(G6,PlayerCard!B:B,PlayerCard!C:C)</f>
        <v>民兵</v>
      </c>
      <c r="I6" s="8"/>
    </row>
    <row r="7" spans="1:9">
      <c r="G7" s="8">
        <v>1001</v>
      </c>
      <c r="H7" s="8" t="str">
        <f>LOOKUP(G7,PlayerCard!B:B,PlayerCard!C:C)</f>
        <v>民兵</v>
      </c>
    </row>
    <row r="8" spans="1:9">
      <c r="G8" s="8">
        <v>1001</v>
      </c>
      <c r="H8" s="8" t="str">
        <f>LOOKUP(G8,PlayerCard!B:B,PlayerCard!C:C)</f>
        <v>民兵</v>
      </c>
    </row>
    <row r="9" spans="1:9">
      <c r="G9" s="8">
        <v>1002</v>
      </c>
      <c r="H9" s="8" t="str">
        <f>LOOKUP(G9,PlayerCard!B:B,PlayerCard!C:C)</f>
        <v>学徒</v>
      </c>
    </row>
    <row r="10" spans="1:9">
      <c r="G10" s="8">
        <v>1002</v>
      </c>
      <c r="H10" s="8" t="str">
        <f>LOOKUP(G10,PlayerCard!B:B,PlayerCard!C:C)</f>
        <v>学徒</v>
      </c>
    </row>
    <row r="11" spans="1:9">
      <c r="G11" s="8">
        <v>1002</v>
      </c>
      <c r="H11" s="8" t="str">
        <f>LOOKUP(G11,PlayerCard!B:B,PlayerCard!C:C)</f>
        <v>学徒</v>
      </c>
    </row>
    <row r="12" spans="1:9">
      <c r="G12" s="8">
        <v>1002</v>
      </c>
      <c r="H12" s="8" t="str">
        <f>LOOKUP(G12,PlayerCard!B:B,PlayerCard!C:C)</f>
        <v>学徒</v>
      </c>
    </row>
    <row r="13" spans="1:9">
      <c r="G13" s="8">
        <v>1002</v>
      </c>
      <c r="H13" s="8" t="str">
        <f>LOOKUP(G13,PlayerCard!B:B,PlayerCard!C:C)</f>
        <v>学徒</v>
      </c>
    </row>
    <row r="14" spans="1:9">
      <c r="B14">
        <v>1002</v>
      </c>
      <c r="C14" s="8" t="s">
        <v>223</v>
      </c>
      <c r="D14" s="8" t="s">
        <v>224</v>
      </c>
      <c r="E14">
        <v>1</v>
      </c>
      <c r="F14">
        <v>100</v>
      </c>
      <c r="G14" s="8">
        <v>1003</v>
      </c>
      <c r="H14" s="8" t="str">
        <f>LOOKUP(G14,PlayerCard!B:B,PlayerCard!C:C)</f>
        <v>余火士兵</v>
      </c>
    </row>
    <row r="15" spans="1:9">
      <c r="G15" s="8">
        <v>1001</v>
      </c>
      <c r="H15" s="8" t="str">
        <f>LOOKUP(G15,PlayerCard!B:B,PlayerCard!C:C)</f>
        <v>民兵</v>
      </c>
    </row>
    <row r="16" spans="1:9">
      <c r="G16" s="8">
        <v>1001</v>
      </c>
      <c r="H16" s="8" t="str">
        <f>LOOKUP(G16,PlayerCard!B:B,PlayerCard!C:C)</f>
        <v>民兵</v>
      </c>
    </row>
    <row r="17" spans="2:8">
      <c r="G17" s="8">
        <v>1001</v>
      </c>
      <c r="H17" s="8" t="str">
        <f>LOOKUP(G17,PlayerCard!B:B,PlayerCard!C:C)</f>
        <v>民兵</v>
      </c>
    </row>
    <row r="18" spans="2:8">
      <c r="G18" s="8">
        <v>1001</v>
      </c>
      <c r="H18" s="8" t="str">
        <f>LOOKUP(G18,PlayerCard!B:B,PlayerCard!C:C)</f>
        <v>民兵</v>
      </c>
    </row>
    <row r="19" spans="2:8">
      <c r="G19" s="8">
        <v>1001</v>
      </c>
      <c r="H19" s="8" t="str">
        <f>LOOKUP(G19,PlayerCard!B:B,PlayerCard!C:C)</f>
        <v>民兵</v>
      </c>
    </row>
    <row r="20" spans="2:8">
      <c r="G20" s="8">
        <v>1005</v>
      </c>
      <c r="H20" s="8" t="str">
        <f>LOOKUP(G20,PlayerCard!B:B,PlayerCard!C:C)</f>
        <v>马匹</v>
      </c>
    </row>
    <row r="21" spans="2:8">
      <c r="G21" s="8">
        <v>1002</v>
      </c>
      <c r="H21" s="8" t="str">
        <f>LOOKUP(G21,PlayerCard!B:B,PlayerCard!C:C)</f>
        <v>学徒</v>
      </c>
    </row>
    <row r="22" spans="2:8">
      <c r="G22" s="8">
        <v>1002</v>
      </c>
      <c r="H22" s="8" t="str">
        <f>LOOKUP(G22,PlayerCard!B:B,PlayerCard!C:C)</f>
        <v>学徒</v>
      </c>
    </row>
    <row r="23" spans="2:8">
      <c r="G23" s="8">
        <v>1002</v>
      </c>
      <c r="H23" s="8" t="str">
        <f>LOOKUP(G23,PlayerCard!B:B,PlayerCard!C:C)</f>
        <v>学徒</v>
      </c>
    </row>
    <row r="24" spans="2:8">
      <c r="B24">
        <v>1003</v>
      </c>
      <c r="C24" s="8" t="s">
        <v>225</v>
      </c>
      <c r="D24" s="8" t="s">
        <v>226</v>
      </c>
      <c r="E24">
        <v>2</v>
      </c>
      <c r="F24">
        <v>100</v>
      </c>
      <c r="G24" s="8">
        <v>1001</v>
      </c>
      <c r="H24" s="8" t="str">
        <f>LOOKUP(G24,PlayerCard!B:B,PlayerCard!C:C)</f>
        <v>民兵</v>
      </c>
    </row>
    <row r="25" spans="2:8">
      <c r="G25" s="8">
        <v>1001</v>
      </c>
      <c r="H25" s="8" t="str">
        <f>LOOKUP(G25,PlayerCard!B:B,PlayerCard!C:C)</f>
        <v>民兵</v>
      </c>
    </row>
    <row r="26" spans="2:8">
      <c r="G26" s="8">
        <v>1001</v>
      </c>
      <c r="H26" s="8" t="str">
        <f>LOOKUP(G26,PlayerCard!B:B,PlayerCard!C:C)</f>
        <v>民兵</v>
      </c>
    </row>
    <row r="27" spans="2:8">
      <c r="G27" s="8">
        <v>1001</v>
      </c>
      <c r="H27" s="8" t="str">
        <f>LOOKUP(G27,PlayerCard!B:B,PlayerCard!C:C)</f>
        <v>民兵</v>
      </c>
    </row>
    <row r="28" spans="2:8">
      <c r="G28" s="8">
        <v>1001</v>
      </c>
      <c r="H28" s="8" t="str">
        <f>LOOKUP(G28,PlayerCard!B:B,PlayerCard!C:C)</f>
        <v>民兵</v>
      </c>
    </row>
    <row r="29" spans="2:8">
      <c r="G29" s="8">
        <v>1004</v>
      </c>
      <c r="H29" s="8" t="str">
        <f>LOOKUP(G29,PlayerCard!B:B,PlayerCard!C:C)</f>
        <v>余火学者</v>
      </c>
    </row>
    <row r="30" spans="2:8">
      <c r="G30" s="8">
        <v>1004</v>
      </c>
      <c r="H30" s="8" t="str">
        <f>LOOKUP(G30,PlayerCard!B:B,PlayerCard!C:C)</f>
        <v>余火学者</v>
      </c>
    </row>
    <row r="31" spans="2:8">
      <c r="G31" s="8">
        <v>1002</v>
      </c>
      <c r="H31" s="8" t="str">
        <f>LOOKUP(G31,PlayerCard!B:B,PlayerCard!C:C)</f>
        <v>学徒</v>
      </c>
    </row>
    <row r="32" spans="2:8">
      <c r="G32" s="8">
        <v>1002</v>
      </c>
      <c r="H32" s="8" t="str">
        <f>LOOKUP(G32,PlayerCard!B:B,PlayerCard!C:C)</f>
        <v>学徒</v>
      </c>
    </row>
    <row r="33" spans="2:8">
      <c r="G33" s="8">
        <v>1002</v>
      </c>
      <c r="H33" s="8" t="str">
        <f>LOOKUP(G33,PlayerCard!B:B,PlayerCard!C:C)</f>
        <v>学徒</v>
      </c>
    </row>
    <row r="34" spans="2:8">
      <c r="B34" s="8">
        <v>9001</v>
      </c>
      <c r="C34" s="8" t="s">
        <v>227</v>
      </c>
      <c r="D34" s="8" t="s">
        <v>228</v>
      </c>
      <c r="E34" s="8">
        <v>0</v>
      </c>
      <c r="F34" s="8">
        <v>0</v>
      </c>
      <c r="G34" s="8">
        <v>1022</v>
      </c>
      <c r="H34" s="8" t="str">
        <f>LOOKUP(G34,PlayerCard!B:B,PlayerCard!C:C)</f>
        <v>调酒师</v>
      </c>
    </row>
    <row r="35" spans="2:8">
      <c r="B35" s="8"/>
      <c r="E35" s="8"/>
      <c r="F35" s="8"/>
      <c r="G35" s="8">
        <v>9001</v>
      </c>
      <c r="H35" s="8" t="str">
        <f>LOOKUP(G35,PlayerCard!B:B,PlayerCard!C:C)</f>
        <v>作弊民兵</v>
      </c>
    </row>
    <row r="36" spans="2:8">
      <c r="B36" s="8"/>
      <c r="E36" s="8"/>
      <c r="F36" s="8"/>
      <c r="G36" s="8">
        <v>9001</v>
      </c>
      <c r="H36" s="8" t="str">
        <f>LOOKUP(G36,PlayerCard!B:B,PlayerCard!C:C)</f>
        <v>作弊民兵</v>
      </c>
    </row>
    <row r="37" spans="2:8">
      <c r="G37" s="8">
        <v>9001</v>
      </c>
      <c r="H37" s="8" t="str">
        <f>LOOKUP(G37,PlayerCard!B:B,PlayerCard!C:C)</f>
        <v>作弊民兵</v>
      </c>
    </row>
    <row r="38" spans="2:8">
      <c r="G38" s="8">
        <v>9001</v>
      </c>
      <c r="H38" s="8" t="str">
        <f>LOOKUP(G38,PlayerCard!B:B,PlayerCard!C:C)</f>
        <v>作弊民兵</v>
      </c>
    </row>
    <row r="39" spans="2:8">
      <c r="G39" s="8">
        <v>1022</v>
      </c>
      <c r="H39" s="8" t="str">
        <f>LOOKUP(G39,PlayerCard!B:B,PlayerCard!C:C)</f>
        <v>调酒师</v>
      </c>
    </row>
    <row r="40" spans="2:8">
      <c r="G40" s="8">
        <v>9003</v>
      </c>
      <c r="H40" s="8" t="str">
        <f>LOOKUP(G40,PlayerCard!B:B,PlayerCard!C:C)</f>
        <v>作弊放逐</v>
      </c>
    </row>
    <row r="41" spans="2:8">
      <c r="G41" s="8">
        <v>9002</v>
      </c>
      <c r="H41" s="8" t="str">
        <f>LOOKUP(G41,PlayerCard!B:B,PlayerCard!C:C)</f>
        <v>作弊学徒</v>
      </c>
    </row>
    <row r="42" spans="2:8">
      <c r="G42" s="8">
        <v>9002</v>
      </c>
      <c r="H42" s="8" t="str">
        <f>LOOKUP(G42,PlayerCard!B:B,PlayerCard!C:C)</f>
        <v>作弊学徒</v>
      </c>
    </row>
    <row r="43" spans="2:8">
      <c r="G43" s="8">
        <v>9002</v>
      </c>
      <c r="H43" s="8" t="str">
        <f>LOOKUP(G43,PlayerCard!B:B,PlayerCard!C:C)</f>
        <v>作弊学徒</v>
      </c>
    </row>
    <row r="44" spans="2:8">
      <c r="B44" s="8">
        <v>9002</v>
      </c>
      <c r="C44" s="8" t="s">
        <v>229</v>
      </c>
      <c r="D44" t="s">
        <v>230</v>
      </c>
      <c r="E44">
        <v>0</v>
      </c>
      <c r="F44">
        <v>0</v>
      </c>
      <c r="G44">
        <v>9001</v>
      </c>
      <c r="H44" s="8" t="str">
        <f>LOOKUP(G44,PlayerCard!B:B,PlayerCard!C:C)</f>
        <v>作弊民兵</v>
      </c>
    </row>
    <row r="45" spans="2:8">
      <c r="G45">
        <v>9001</v>
      </c>
      <c r="H45" s="8" t="str">
        <f>LOOKUP(G45,PlayerCard!B:B,PlayerCard!C:C)</f>
        <v>作弊民兵</v>
      </c>
    </row>
    <row r="46" spans="2:8">
      <c r="G46">
        <v>9001</v>
      </c>
      <c r="H46" s="8" t="str">
        <f>LOOKUP(G46,PlayerCard!B:B,PlayerCard!C:C)</f>
        <v>作弊民兵</v>
      </c>
    </row>
    <row r="47" spans="2:8">
      <c r="G47">
        <v>1003</v>
      </c>
      <c r="H47" s="8" t="str">
        <f>LOOKUP(G47,PlayerCard!B:B,PlayerCard!C:C)</f>
        <v>余火士兵</v>
      </c>
    </row>
    <row r="48" spans="2:8">
      <c r="G48">
        <v>1003</v>
      </c>
      <c r="H48" s="8" t="str">
        <f>LOOKUP(G48,PlayerCard!B:B,PlayerCard!C:C)</f>
        <v>余火士兵</v>
      </c>
    </row>
    <row r="49" spans="2:8">
      <c r="G49">
        <v>1004</v>
      </c>
      <c r="H49" s="8" t="str">
        <f>LOOKUP(G49,PlayerCard!B:B,PlayerCard!C:C)</f>
        <v>余火学者</v>
      </c>
    </row>
    <row r="50" spans="2:8">
      <c r="G50">
        <v>1005</v>
      </c>
      <c r="H50" s="8" t="str">
        <f>LOOKUP(G50,PlayerCard!B:B,PlayerCard!C:C)</f>
        <v>马匹</v>
      </c>
    </row>
    <row r="51" spans="2:8">
      <c r="G51">
        <v>1005</v>
      </c>
      <c r="H51" s="8" t="str">
        <f>LOOKUP(G51,PlayerCard!B:B,PlayerCard!C:C)</f>
        <v>马匹</v>
      </c>
    </row>
    <row r="52" spans="2:8">
      <c r="G52">
        <v>1005</v>
      </c>
      <c r="H52" s="8" t="str">
        <f>LOOKUP(G52,PlayerCard!B:B,PlayerCard!C:C)</f>
        <v>马匹</v>
      </c>
    </row>
    <row r="53" spans="2:8">
      <c r="G53">
        <v>1006</v>
      </c>
      <c r="H53" s="8" t="str">
        <f>LOOKUP(G53,PlayerCard!B:B,PlayerCard!C:C)</f>
        <v>余火骑兵</v>
      </c>
    </row>
    <row r="54" spans="2:8">
      <c r="G54">
        <v>1007</v>
      </c>
      <c r="H54" s="8" t="str">
        <f>LOOKUP(G54,PlayerCard!B:B,PlayerCard!C:C)</f>
        <v>余火信骑</v>
      </c>
    </row>
    <row r="55" spans="2:8">
      <c r="G55">
        <v>1009</v>
      </c>
      <c r="H55" s="8" t="str">
        <f>LOOKUP(G55,PlayerCard!B:B,PlayerCard!C:C)</f>
        <v>灰眼导师</v>
      </c>
    </row>
    <row r="56" spans="2:8">
      <c r="G56">
        <v>1010</v>
      </c>
      <c r="H56" s="8" t="str">
        <f>LOOKUP(G56,PlayerCard!B:B,PlayerCard!C:C)</f>
        <v>剑士</v>
      </c>
    </row>
    <row r="57" spans="2:8">
      <c r="G57">
        <v>9001</v>
      </c>
      <c r="H57" s="8" t="str">
        <f>LOOKUP(G57,PlayerCard!B:B,PlayerCard!C:C)</f>
        <v>作弊民兵</v>
      </c>
    </row>
    <row r="58" spans="2:8">
      <c r="G58">
        <v>9002</v>
      </c>
      <c r="H58" s="8" t="str">
        <f>LOOKUP(G58,PlayerCard!B:B,PlayerCard!C:C)</f>
        <v>作弊学徒</v>
      </c>
    </row>
    <row r="59" spans="2:8">
      <c r="B59">
        <v>9003</v>
      </c>
      <c r="C59" t="s">
        <v>231</v>
      </c>
      <c r="D59" t="s">
        <v>232</v>
      </c>
      <c r="E59">
        <v>0</v>
      </c>
      <c r="F59">
        <v>0</v>
      </c>
      <c r="G59">
        <v>9001</v>
      </c>
      <c r="H59" s="8" t="str">
        <f>LOOKUP(G59,PlayerCard!B:B,PlayerCard!C:C)</f>
        <v>作弊民兵</v>
      </c>
    </row>
    <row r="60" spans="2:8">
      <c r="G60">
        <v>9001</v>
      </c>
      <c r="H60" s="8" t="str">
        <f>LOOKUP(G60,PlayerCard!B:B,PlayerCard!C:C)</f>
        <v>作弊民兵</v>
      </c>
    </row>
    <row r="61" spans="2:8">
      <c r="G61">
        <v>9001</v>
      </c>
      <c r="H61" s="8" t="str">
        <f>LOOKUP(G61,PlayerCard!B:B,PlayerCard!C:C)</f>
        <v>作弊民兵</v>
      </c>
    </row>
    <row r="62" spans="2:8">
      <c r="G62">
        <v>1008</v>
      </c>
      <c r="H62" s="8" t="str">
        <f>LOOKUP(G62,PlayerCard!B:B,PlayerCard!C:C)</f>
        <v>马贩子</v>
      </c>
    </row>
    <row r="63" spans="2:8">
      <c r="G63">
        <v>1012</v>
      </c>
      <c r="H63" s="8" t="str">
        <f>LOOKUP(G63,PlayerCard!B:B,PlayerCard!C:C)</f>
        <v>女酒保</v>
      </c>
    </row>
    <row r="64" spans="2:8">
      <c r="G64">
        <v>1013</v>
      </c>
      <c r="H64" s="8" t="str">
        <f>LOOKUP(G64,PlayerCard!B:B,PlayerCard!C:C)</f>
        <v>狼帮摩托手</v>
      </c>
    </row>
    <row r="65" spans="2:8">
      <c r="G65">
        <v>1014</v>
      </c>
      <c r="H65" s="8" t="str">
        <f>LOOKUP(G65,PlayerCard!B:B,PlayerCard!C:C)</f>
        <v>银镰狙击手</v>
      </c>
    </row>
    <row r="66" spans="2:8">
      <c r="G66">
        <v>1015</v>
      </c>
      <c r="H66" s="8" t="str">
        <f>LOOKUP(G66,PlayerCard!B:B,PlayerCard!C:C)</f>
        <v>小镇作家</v>
      </c>
    </row>
    <row r="67" spans="2:8">
      <c r="G67">
        <v>1017</v>
      </c>
      <c r="H67" s="8" t="str">
        <f>LOOKUP(G67,PlayerCard!B:B,PlayerCard!C:C)</f>
        <v>悲剧作家</v>
      </c>
    </row>
    <row r="68" spans="2:8">
      <c r="G68">
        <v>1017</v>
      </c>
      <c r="H68" s="8" t="str">
        <f>LOOKUP(G68,PlayerCard!B:B,PlayerCard!C:C)</f>
        <v>悲剧作家</v>
      </c>
    </row>
    <row r="69" spans="2:8">
      <c r="G69">
        <v>1003</v>
      </c>
      <c r="H69" s="8" t="str">
        <f>LOOKUP(G69,PlayerCard!B:B,PlayerCard!C:C)</f>
        <v>余火士兵</v>
      </c>
    </row>
    <row r="70" spans="2:8">
      <c r="G70">
        <v>1005</v>
      </c>
      <c r="H70" s="8" t="str">
        <f>LOOKUP(G70,PlayerCard!B:B,PlayerCard!C:C)</f>
        <v>马匹</v>
      </c>
    </row>
    <row r="71" spans="2:8">
      <c r="G71">
        <v>1005</v>
      </c>
      <c r="H71" s="8" t="str">
        <f>LOOKUP(G71,PlayerCard!B:B,PlayerCard!C:C)</f>
        <v>马匹</v>
      </c>
    </row>
    <row r="72" spans="2:8">
      <c r="G72">
        <v>9001</v>
      </c>
      <c r="H72" s="8" t="str">
        <f>LOOKUP(G72,PlayerCard!B:B,PlayerCard!C:C)</f>
        <v>作弊民兵</v>
      </c>
    </row>
    <row r="73" spans="2:8">
      <c r="G73">
        <v>9002</v>
      </c>
      <c r="H73" s="8" t="str">
        <f>LOOKUP(G73,PlayerCard!B:B,PlayerCard!C:C)</f>
        <v>作弊学徒</v>
      </c>
    </row>
    <row r="74" spans="2:8">
      <c r="B74">
        <v>9004</v>
      </c>
      <c r="C74" t="s">
        <v>233</v>
      </c>
      <c r="D74" t="s">
        <v>234</v>
      </c>
      <c r="E74">
        <v>0</v>
      </c>
      <c r="F74">
        <v>0</v>
      </c>
      <c r="G74">
        <v>9001</v>
      </c>
      <c r="H74" s="8" t="str">
        <f>LOOKUP(G74,PlayerCard!B:B,PlayerCard!C:C)</f>
        <v>作弊民兵</v>
      </c>
    </row>
    <row r="75" spans="2:8">
      <c r="G75">
        <v>9001</v>
      </c>
      <c r="H75" s="8" t="str">
        <f>LOOKUP(G75,PlayerCard!B:B,PlayerCard!C:C)</f>
        <v>作弊民兵</v>
      </c>
    </row>
    <row r="76" spans="2:8">
      <c r="G76">
        <v>9001</v>
      </c>
      <c r="H76" s="8" t="str">
        <f>LOOKUP(G76,PlayerCard!B:B,PlayerCard!C:C)</f>
        <v>作弊民兵</v>
      </c>
    </row>
    <row r="77" spans="2:8">
      <c r="G77">
        <v>1015</v>
      </c>
      <c r="H77" s="8" t="str">
        <f>LOOKUP(G77,PlayerCard!B:B,PlayerCard!C:C)</f>
        <v>小镇作家</v>
      </c>
    </row>
    <row r="78" spans="2:8">
      <c r="G78">
        <v>1015</v>
      </c>
      <c r="H78" s="8" t="str">
        <f>LOOKUP(G78,PlayerCard!B:B,PlayerCard!C:C)</f>
        <v>小镇作家</v>
      </c>
    </row>
    <row r="79" spans="2:8">
      <c r="G79">
        <v>1016</v>
      </c>
      <c r="H79" s="8" t="str">
        <f>LOOKUP(G79,PlayerCard!B:B,PlayerCard!C:C)</f>
        <v>失控的答录机</v>
      </c>
    </row>
    <row r="80" spans="2:8">
      <c r="G80">
        <v>1018</v>
      </c>
      <c r="H80" s="8" t="str">
        <f>LOOKUP(G80,PlayerCard!B:B,PlayerCard!C:C)</f>
        <v>头号通缉犯</v>
      </c>
    </row>
    <row r="81" spans="2:8">
      <c r="G81">
        <v>1020</v>
      </c>
      <c r="H81" s="8" t="str">
        <f>LOOKUP(G81,PlayerCard!B:B,PlayerCard!C:C)</f>
        <v>滑翔翼佣兵</v>
      </c>
    </row>
    <row r="82" spans="2:8">
      <c r="G82">
        <v>1020</v>
      </c>
      <c r="H82" s="8" t="str">
        <f>LOOKUP(G82,PlayerCard!B:B,PlayerCard!C:C)</f>
        <v>滑翔翼佣兵</v>
      </c>
    </row>
    <row r="83" spans="2:8">
      <c r="G83">
        <v>1021</v>
      </c>
      <c r="H83" s="8" t="str">
        <f>LOOKUP(G83,PlayerCard!B:B,PlayerCard!C:C)</f>
        <v>联邦征兵官</v>
      </c>
    </row>
    <row r="84" spans="2:8">
      <c r="G84">
        <v>1021</v>
      </c>
      <c r="H84" s="8" t="str">
        <f>LOOKUP(G84,PlayerCard!B:B,PlayerCard!C:C)</f>
        <v>联邦征兵官</v>
      </c>
    </row>
    <row r="85" spans="2:8">
      <c r="G85">
        <v>1003</v>
      </c>
      <c r="H85" s="8" t="str">
        <f>LOOKUP(G85,PlayerCard!B:B,PlayerCard!C:C)</f>
        <v>余火士兵</v>
      </c>
    </row>
    <row r="86" spans="2:8">
      <c r="G86">
        <v>1005</v>
      </c>
      <c r="H86" s="8" t="str">
        <f>LOOKUP(G86,PlayerCard!B:B,PlayerCard!C:C)</f>
        <v>马匹</v>
      </c>
    </row>
    <row r="87" spans="2:8">
      <c r="G87">
        <v>9001</v>
      </c>
      <c r="H87" s="8" t="str">
        <f>LOOKUP(G87,PlayerCard!B:B,PlayerCard!C:C)</f>
        <v>作弊民兵</v>
      </c>
    </row>
    <row r="88" spans="2:8">
      <c r="G88">
        <v>9002</v>
      </c>
      <c r="H88" s="8" t="str">
        <f>LOOKUP(G88,PlayerCard!B:B,PlayerCard!C:C)</f>
        <v>作弊学徒</v>
      </c>
    </row>
    <row r="89" spans="2:8">
      <c r="B89">
        <v>9005</v>
      </c>
      <c r="C89" t="s">
        <v>235</v>
      </c>
      <c r="D89" t="s">
        <v>236</v>
      </c>
      <c r="E89">
        <v>0</v>
      </c>
      <c r="F89">
        <v>0</v>
      </c>
      <c r="G89">
        <v>9001</v>
      </c>
      <c r="H89" s="8" t="str">
        <f>LOOKUP(G89,PlayerCard!B:B,PlayerCard!C:C)</f>
        <v>作弊民兵</v>
      </c>
    </row>
    <row r="90" spans="2:8">
      <c r="G90">
        <v>9001</v>
      </c>
      <c r="H90" s="8" t="str">
        <f>LOOKUP(G90,PlayerCard!B:B,PlayerCard!C:C)</f>
        <v>作弊民兵</v>
      </c>
    </row>
    <row r="91" spans="2:8">
      <c r="G91">
        <v>9001</v>
      </c>
      <c r="H91" s="8" t="str">
        <f>LOOKUP(G91,PlayerCard!B:B,PlayerCard!C:C)</f>
        <v>作弊民兵</v>
      </c>
    </row>
    <row r="92" spans="2:8">
      <c r="G92">
        <v>1022</v>
      </c>
      <c r="H92" s="8" t="str">
        <f>LOOKUP(G92,PlayerCard!B:B,PlayerCard!C:C)</f>
        <v>调酒师</v>
      </c>
    </row>
    <row r="93" spans="2:8">
      <c r="G93">
        <v>1022</v>
      </c>
      <c r="H93" s="8" t="str">
        <f>LOOKUP(G93,PlayerCard!B:B,PlayerCard!C:C)</f>
        <v>调酒师</v>
      </c>
    </row>
    <row r="94" spans="2:8">
      <c r="G94">
        <v>1023</v>
      </c>
      <c r="H94" s="8" t="str">
        <f>LOOKUP(G94,PlayerCard!B:B,PlayerCard!C:C)</f>
        <v>冰结法师</v>
      </c>
    </row>
    <row r="95" spans="2:8">
      <c r="G95">
        <v>1024</v>
      </c>
      <c r="H95" s="8" t="str">
        <f>LOOKUP(G95,PlayerCard!B:B,PlayerCard!C:C)</f>
        <v>鉴定师</v>
      </c>
    </row>
    <row r="96" spans="2:8">
      <c r="G96">
        <v>1025</v>
      </c>
      <c r="H96" s="8" t="str">
        <f>LOOKUP(G96,PlayerCard!B:B,PlayerCard!C:C)</f>
        <v>倒吊人</v>
      </c>
    </row>
    <row r="97" spans="2:8">
      <c r="G97">
        <v>1025</v>
      </c>
      <c r="H97" s="8" t="str">
        <f>LOOKUP(G97,PlayerCard!B:B,PlayerCard!C:C)</f>
        <v>倒吊人</v>
      </c>
    </row>
    <row r="98" spans="2:8">
      <c r="G98">
        <v>1026</v>
      </c>
      <c r="H98" s="8" t="str">
        <f>LOOKUP(G98,PlayerCard!B:B,PlayerCard!C:C)</f>
        <v>鼠人飞刀手</v>
      </c>
    </row>
    <row r="99" spans="2:8">
      <c r="G99">
        <v>1026</v>
      </c>
      <c r="H99" s="8" t="str">
        <f>LOOKUP(G99,PlayerCard!B:B,PlayerCard!C:C)</f>
        <v>鼠人飞刀手</v>
      </c>
    </row>
    <row r="100" spans="2:8">
      <c r="G100">
        <v>1003</v>
      </c>
      <c r="H100" s="8" t="str">
        <f>LOOKUP(G100,PlayerCard!B:B,PlayerCard!C:C)</f>
        <v>余火士兵</v>
      </c>
    </row>
    <row r="101" spans="2:8">
      <c r="G101">
        <v>1005</v>
      </c>
      <c r="H101" s="8" t="str">
        <f>LOOKUP(G101,PlayerCard!B:B,PlayerCard!C:C)</f>
        <v>马匹</v>
      </c>
    </row>
    <row r="102" spans="2:8">
      <c r="G102">
        <v>9001</v>
      </c>
      <c r="H102" s="8" t="str">
        <f>LOOKUP(G102,PlayerCard!B:B,PlayerCard!C:C)</f>
        <v>作弊民兵</v>
      </c>
    </row>
    <row r="103" spans="2:8">
      <c r="G103">
        <v>9002</v>
      </c>
      <c r="H103" s="8" t="str">
        <f>LOOKUP(G103,PlayerCard!B:B,PlayerCard!C:C)</f>
        <v>作弊学徒</v>
      </c>
    </row>
    <row r="104" spans="2:8">
      <c r="B104">
        <v>9006</v>
      </c>
      <c r="C104" t="s">
        <v>237</v>
      </c>
      <c r="D104" t="s">
        <v>238</v>
      </c>
      <c r="E104">
        <v>0</v>
      </c>
      <c r="F104">
        <v>0</v>
      </c>
      <c r="G104">
        <v>9001</v>
      </c>
      <c r="H104" s="8" t="str">
        <f>LOOKUP(G104,PlayerCard!B:B,PlayerCard!C:C)</f>
        <v>作弊民兵</v>
      </c>
    </row>
    <row r="105" spans="2:8">
      <c r="G105">
        <v>9001</v>
      </c>
      <c r="H105" s="8" t="str">
        <f>LOOKUP(G105,PlayerCard!B:B,PlayerCard!C:C)</f>
        <v>作弊民兵</v>
      </c>
    </row>
    <row r="106" spans="2:8">
      <c r="G106">
        <v>9001</v>
      </c>
      <c r="H106" s="8" t="str">
        <f>LOOKUP(G106,PlayerCard!B:B,PlayerCard!C:C)</f>
        <v>作弊民兵</v>
      </c>
    </row>
    <row r="107" spans="2:8">
      <c r="G107">
        <v>1019</v>
      </c>
      <c r="H107" s="8" t="str">
        <f>LOOKUP(G107,PlayerCard!B:B,PlayerCard!C:C)</f>
        <v>捡零件的矮人</v>
      </c>
    </row>
    <row r="108" spans="2:8">
      <c r="G108">
        <v>1027</v>
      </c>
      <c r="H108" s="8" t="str">
        <f>LOOKUP(G108,PlayerCard!B:B,PlayerCard!C:C)</f>
        <v>募捐使者</v>
      </c>
    </row>
    <row r="109" spans="2:8">
      <c r="G109">
        <v>1028</v>
      </c>
      <c r="H109" s="8" t="str">
        <f>LOOKUP(G109,PlayerCard!B:B,PlayerCard!C:C)</f>
        <v>学院监考官</v>
      </c>
    </row>
    <row r="110" spans="2:8">
      <c r="G110">
        <v>1029</v>
      </c>
      <c r="H110" s="8" t="str">
        <f>LOOKUP(G110,PlayerCard!B:B,PlayerCard!C:C)</f>
        <v>砍价高手</v>
      </c>
    </row>
    <row r="111" spans="2:8">
      <c r="G111">
        <v>1030</v>
      </c>
      <c r="H111" s="8" t="str">
        <f>LOOKUP(G111,PlayerCard!B:B,PlayerCard!C:C)</f>
        <v>绿洲大亨</v>
      </c>
    </row>
    <row r="112" spans="2:8">
      <c r="G112">
        <v>1030</v>
      </c>
      <c r="H112" s="8" t="str">
        <f>LOOKUP(G112,PlayerCard!B:B,PlayerCard!C:C)</f>
        <v>绿洲大亨</v>
      </c>
    </row>
    <row r="113" spans="7:8">
      <c r="G113">
        <v>1031</v>
      </c>
      <c r="H113" s="8" t="str">
        <f>LOOKUP(G113,PlayerCard!B:B,PlayerCard!C:C)</f>
        <v>劳工</v>
      </c>
    </row>
    <row r="114" spans="7:8">
      <c r="G114">
        <v>1031</v>
      </c>
      <c r="H114" s="8" t="str">
        <f>LOOKUP(G114,PlayerCard!B:B,PlayerCard!C:C)</f>
        <v>劳工</v>
      </c>
    </row>
    <row r="115" spans="7:8">
      <c r="G115">
        <v>1003</v>
      </c>
      <c r="H115" s="8" t="str">
        <f>LOOKUP(G115,PlayerCard!B:B,PlayerCard!C:C)</f>
        <v>余火士兵</v>
      </c>
    </row>
    <row r="116" spans="7:8">
      <c r="G116">
        <v>1005</v>
      </c>
      <c r="H116" s="8" t="str">
        <f>LOOKUP(G116,PlayerCard!B:B,PlayerCard!C:C)</f>
        <v>马匹</v>
      </c>
    </row>
    <row r="117" spans="7:8">
      <c r="G117">
        <v>9001</v>
      </c>
      <c r="H117" s="8" t="str">
        <f>LOOKUP(G117,PlayerCard!B:B,PlayerCard!C:C)</f>
        <v>作弊民兵</v>
      </c>
    </row>
    <row r="118" spans="7:8">
      <c r="G118">
        <v>9002</v>
      </c>
      <c r="H118" s="8" t="str">
        <f>LOOKUP(G118,PlayerCard!B:B,PlayerCard!C:C)</f>
        <v>作弊学徒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workbookViewId="0">
      <selection activeCell="E19" sqref="E19"/>
    </sheetView>
  </sheetViews>
  <sheetFormatPr defaultColWidth="8.66666666666667" defaultRowHeight="17.4"/>
  <cols>
    <col min="1" max="1" width="9.58333333333333" customWidth="1"/>
    <col min="4" max="5" width="11.4166666666667" customWidth="1"/>
    <col min="11" max="11" width="11.4166666666667" customWidth="1"/>
    <col min="13" max="13" width="10.4166666666667" customWidth="1"/>
    <col min="15" max="15" width="13.8333333333333" customWidth="1"/>
  </cols>
  <sheetData>
    <row r="1" spans="1:19">
      <c r="C1" t="s">
        <v>239</v>
      </c>
    </row>
    <row r="2" spans="1:19">
      <c r="A2" t="s">
        <v>240</v>
      </c>
      <c r="C2" t="s">
        <v>241</v>
      </c>
      <c r="E2" t="s">
        <v>242</v>
      </c>
      <c r="G2" t="s">
        <v>44</v>
      </c>
      <c r="I2" t="s">
        <v>243</v>
      </c>
      <c r="K2" t="s">
        <v>244</v>
      </c>
      <c r="M2" s="14" t="s">
        <v>245</v>
      </c>
      <c r="O2" s="14" t="s">
        <v>246</v>
      </c>
      <c r="Q2" t="s">
        <v>247</v>
      </c>
      <c r="S2" t="s">
        <v>248</v>
      </c>
    </row>
    <row r="3" spans="1:19">
      <c r="A3" s="14" t="s">
        <v>249</v>
      </c>
      <c r="C3" t="s">
        <v>57</v>
      </c>
      <c r="E3" s="14" t="s">
        <v>250</v>
      </c>
      <c r="G3" t="s">
        <v>58</v>
      </c>
      <c r="I3" s="14" t="s">
        <v>59</v>
      </c>
      <c r="K3" s="14" t="s">
        <v>251</v>
      </c>
      <c r="M3" s="14" t="s">
        <v>252</v>
      </c>
      <c r="O3" t="s">
        <v>253</v>
      </c>
      <c r="Q3" s="14" t="s">
        <v>254</v>
      </c>
      <c r="S3" s="14" t="s">
        <v>43</v>
      </c>
    </row>
    <row r="4" spans="1:19">
      <c r="A4" t="s">
        <v>57</v>
      </c>
      <c r="C4" t="s">
        <v>62</v>
      </c>
      <c r="E4" s="14" t="s">
        <v>72</v>
      </c>
      <c r="G4" t="s">
        <v>74</v>
      </c>
      <c r="I4" s="14" t="s">
        <v>111</v>
      </c>
      <c r="K4" s="14" t="s">
        <v>255</v>
      </c>
      <c r="M4" s="14" t="s">
        <v>256</v>
      </c>
      <c r="O4" s="14" t="s">
        <v>257</v>
      </c>
      <c r="Q4" s="14" t="s">
        <v>258</v>
      </c>
      <c r="S4" s="14" t="s">
        <v>259</v>
      </c>
    </row>
    <row r="5" spans="1:19">
      <c r="A5" t="s">
        <v>62</v>
      </c>
      <c r="C5" t="s">
        <v>65</v>
      </c>
      <c r="E5" s="14" t="s">
        <v>116</v>
      </c>
      <c r="G5" t="s">
        <v>260</v>
      </c>
      <c r="I5" s="14" t="s">
        <v>96</v>
      </c>
      <c r="K5" s="14" t="s">
        <v>261</v>
      </c>
      <c r="M5" s="14" t="s">
        <v>262</v>
      </c>
      <c r="O5" s="14" t="s">
        <v>263</v>
      </c>
      <c r="Q5" s="14" t="s">
        <v>264</v>
      </c>
      <c r="S5" s="14" t="s">
        <v>265</v>
      </c>
    </row>
    <row r="6" spans="1:19">
      <c r="A6" t="s">
        <v>65</v>
      </c>
      <c r="C6" t="s">
        <v>69</v>
      </c>
      <c r="E6" s="14" t="s">
        <v>144</v>
      </c>
      <c r="G6" t="s">
        <v>142</v>
      </c>
      <c r="I6" s="14" t="s">
        <v>103</v>
      </c>
      <c r="K6" s="14" t="s">
        <v>266</v>
      </c>
      <c r="M6" s="14" t="s">
        <v>267</v>
      </c>
      <c r="O6" s="14" t="s">
        <v>268</v>
      </c>
      <c r="Q6" s="14" t="s">
        <v>269</v>
      </c>
      <c r="S6" s="14" t="s">
        <v>270</v>
      </c>
    </row>
    <row r="7" spans="1:19">
      <c r="A7" t="s">
        <v>69</v>
      </c>
      <c r="C7" t="s">
        <v>141</v>
      </c>
      <c r="E7" s="14" t="s">
        <v>171</v>
      </c>
      <c r="G7" t="s">
        <v>271</v>
      </c>
      <c r="I7" s="14" t="s">
        <v>272</v>
      </c>
      <c r="M7" s="14" t="s">
        <v>273</v>
      </c>
      <c r="O7" s="14" t="s">
        <v>274</v>
      </c>
      <c r="Q7" s="14" t="s">
        <v>275</v>
      </c>
      <c r="S7" s="14" t="s">
        <v>276</v>
      </c>
    </row>
    <row r="8" spans="1:19">
      <c r="A8" t="s">
        <v>141</v>
      </c>
      <c r="E8" s="14" t="s">
        <v>183</v>
      </c>
      <c r="I8" s="14" t="s">
        <v>277</v>
      </c>
      <c r="M8" s="14"/>
      <c r="Q8" s="14" t="s">
        <v>278</v>
      </c>
      <c r="S8" t="s">
        <v>279</v>
      </c>
    </row>
    <row r="9" spans="1:19">
      <c r="A9" s="14" t="s">
        <v>280</v>
      </c>
      <c r="E9" s="14" t="s">
        <v>281</v>
      </c>
      <c r="I9" s="14" t="s">
        <v>137</v>
      </c>
      <c r="M9" s="14"/>
      <c r="Q9" s="14" t="s">
        <v>282</v>
      </c>
    </row>
    <row r="10" spans="1:19">
      <c r="A10" t="s">
        <v>58</v>
      </c>
      <c r="E10" s="14" t="s">
        <v>283</v>
      </c>
      <c r="I10" s="14" t="s">
        <v>108</v>
      </c>
      <c r="Q10" s="14" t="s">
        <v>284</v>
      </c>
    </row>
    <row r="11" spans="1:19">
      <c r="A11" t="s">
        <v>74</v>
      </c>
      <c r="E11" s="14" t="s">
        <v>285</v>
      </c>
      <c r="I11" s="14" t="s">
        <v>286</v>
      </c>
      <c r="Q11" s="14" t="s">
        <v>287</v>
      </c>
    </row>
    <row r="12" spans="1:19">
      <c r="A12" t="s">
        <v>260</v>
      </c>
      <c r="I12" s="14" t="s">
        <v>288</v>
      </c>
      <c r="Q12" s="14" t="s">
        <v>289</v>
      </c>
    </row>
    <row r="13" spans="1:19">
      <c r="A13" t="s">
        <v>142</v>
      </c>
      <c r="Q13" s="14" t="s">
        <v>290</v>
      </c>
    </row>
    <row r="14" spans="1:19">
      <c r="A14" s="14" t="s">
        <v>291</v>
      </c>
      <c r="Q14" s="14" t="s">
        <v>292</v>
      </c>
    </row>
    <row r="15" spans="1:19">
      <c r="A15" s="14" t="s">
        <v>59</v>
      </c>
      <c r="Q15" s="14" t="s">
        <v>293</v>
      </c>
    </row>
    <row r="16" spans="1:19">
      <c r="A16" s="14" t="s">
        <v>111</v>
      </c>
      <c r="Q16" s="14"/>
    </row>
    <row r="17" spans="1:1">
      <c r="A17" s="14" t="s">
        <v>96</v>
      </c>
    </row>
    <row r="18" spans="1:1">
      <c r="A18" s="14" t="s">
        <v>103</v>
      </c>
    </row>
    <row r="19" spans="1:1">
      <c r="A19" s="14" t="s">
        <v>272</v>
      </c>
    </row>
    <row r="20" spans="1:1">
      <c r="A20" s="14" t="s">
        <v>277</v>
      </c>
    </row>
    <row r="21" spans="1:1">
      <c r="A21" s="14" t="s">
        <v>137</v>
      </c>
    </row>
    <row r="22" spans="1:1">
      <c r="A22" s="14" t="s">
        <v>108</v>
      </c>
    </row>
    <row r="23" spans="1:1">
      <c r="A23" s="14" t="s">
        <v>286</v>
      </c>
    </row>
    <row r="24" spans="1:1">
      <c r="A24" s="14" t="s">
        <v>288</v>
      </c>
    </row>
    <row r="25" spans="1:1">
      <c r="A25" s="14" t="s">
        <v>294</v>
      </c>
    </row>
    <row r="26" spans="1:1">
      <c r="A26" s="14" t="s">
        <v>250</v>
      </c>
    </row>
    <row r="27" spans="1:1">
      <c r="A27" s="14" t="s">
        <v>72</v>
      </c>
    </row>
    <row r="28" spans="1:1">
      <c r="A28" s="14" t="s">
        <v>116</v>
      </c>
    </row>
    <row r="29" spans="1:1">
      <c r="A29" s="14" t="s">
        <v>144</v>
      </c>
    </row>
    <row r="30" spans="1:1">
      <c r="A30" s="14" t="s">
        <v>183</v>
      </c>
    </row>
    <row r="31" spans="1:1">
      <c r="A31" s="14" t="s">
        <v>281</v>
      </c>
    </row>
    <row r="32" spans="1:1">
      <c r="A32" s="14" t="s">
        <v>283</v>
      </c>
    </row>
    <row r="33" spans="1:1">
      <c r="A33" s="14" t="s">
        <v>285</v>
      </c>
    </row>
    <row r="34" spans="1:1">
      <c r="A34" s="14" t="s">
        <v>295</v>
      </c>
    </row>
    <row r="35" spans="1:1">
      <c r="A35" s="14" t="s">
        <v>296</v>
      </c>
    </row>
    <row r="36" spans="1:1">
      <c r="A36" t="s">
        <v>171</v>
      </c>
    </row>
    <row r="39" spans="1:1">
      <c r="A39" s="1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topLeftCell="P1" workbookViewId="0">
      <selection activeCell="V12" sqref="U12:V12"/>
    </sheetView>
  </sheetViews>
  <sheetFormatPr defaultColWidth="8.66666666666667" defaultRowHeight="17.4"/>
  <cols>
    <col min="1" max="1" width="6.91666666666667" customWidth="1"/>
    <col min="2" max="2" width="6.33333333333333" customWidth="1"/>
    <col min="3" max="3" width="26.0833333333333" customWidth="1"/>
    <col min="4" max="5" width="12.3333333333333" customWidth="1"/>
    <col min="6" max="6" width="14.5" customWidth="1"/>
    <col min="7" max="8" width="16.8333333333333" customWidth="1"/>
    <col min="9" max="9" width="9.58333333333333" customWidth="1"/>
    <col min="10" max="10" width="13" customWidth="1"/>
    <col min="11" max="11" width="11.9166666666667" customWidth="1"/>
    <col min="12" max="12" width="8.58333333333333" customWidth="1"/>
    <col min="13" max="13" width="14.4166666666667" customWidth="1"/>
    <col min="14" max="14" width="7.5" customWidth="1"/>
    <col min="15" max="15" width="13.25" customWidth="1"/>
    <col min="16" max="16" width="9.58333333333333" customWidth="1"/>
    <col min="17" max="17" width="15.4166666666667" customWidth="1"/>
    <col min="18" max="18" width="9.58333333333333" customWidth="1"/>
    <col min="19" max="19" width="12.8333333333333" customWidth="1"/>
    <col min="20" max="20" width="16" customWidth="1"/>
    <col min="21" max="21" width="13.25" customWidth="1"/>
    <col min="22" max="22" width="13.3333333333333" customWidth="1"/>
    <col min="23" max="23" width="17.9166666666667" style="7" customWidth="1"/>
    <col min="24" max="24" width="8.66666666666667" style="16"/>
  </cols>
  <sheetData>
    <row r="1" spans="1:23">
      <c r="A1" s="8" t="s">
        <v>10</v>
      </c>
      <c r="B1" s="8" t="s">
        <v>11</v>
      </c>
      <c r="C1" s="8" t="s">
        <v>12</v>
      </c>
      <c r="D1" s="8" t="s">
        <v>209</v>
      </c>
      <c r="E1" s="9" t="s">
        <v>297</v>
      </c>
      <c r="F1" s="9"/>
      <c r="G1" s="9"/>
      <c r="H1" s="3" t="s">
        <v>298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t="s">
        <v>299</v>
      </c>
      <c r="U1" s="11" t="s">
        <v>300</v>
      </c>
      <c r="V1" s="11"/>
      <c r="W1" s="10" t="s">
        <v>301</v>
      </c>
    </row>
    <row r="2" ht="125" customHeight="1" spans="1:23">
      <c r="A2" s="8" t="s">
        <v>30</v>
      </c>
      <c r="B2" s="12" t="s">
        <v>302</v>
      </c>
      <c r="C2" s="1" t="s">
        <v>303</v>
      </c>
      <c r="D2" s="1" t="s">
        <v>304</v>
      </c>
      <c r="E2" s="1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2" t="s">
        <v>305</v>
      </c>
      <c r="U2" s="17" t="s">
        <v>306</v>
      </c>
      <c r="V2" s="17"/>
      <c r="W2" s="8"/>
    </row>
    <row r="3" spans="1:23">
      <c r="A3" s="8" t="s">
        <v>23</v>
      </c>
      <c r="B3" s="8" t="s">
        <v>24</v>
      </c>
      <c r="C3" s="8" t="s">
        <v>25</v>
      </c>
      <c r="D3" s="8" t="s">
        <v>25</v>
      </c>
      <c r="E3" s="9" t="s">
        <v>307</v>
      </c>
      <c r="F3" s="9"/>
      <c r="G3" s="9"/>
      <c r="H3" s="3" t="s">
        <v>308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8" t="s">
        <v>25</v>
      </c>
      <c r="U3" s="11" t="s">
        <v>309</v>
      </c>
      <c r="V3" s="11"/>
      <c r="W3" s="10" t="s">
        <v>25</v>
      </c>
    </row>
    <row r="4" spans="1:23">
      <c r="A4" s="8" t="s">
        <v>10</v>
      </c>
      <c r="B4" s="8"/>
      <c r="E4" t="s">
        <v>310</v>
      </c>
      <c r="F4" t="s">
        <v>311</v>
      </c>
      <c r="G4" s="14" t="s">
        <v>312</v>
      </c>
      <c r="H4" t="s">
        <v>310</v>
      </c>
      <c r="I4" t="s">
        <v>313</v>
      </c>
      <c r="J4" t="s">
        <v>314</v>
      </c>
      <c r="K4" t="s">
        <v>315</v>
      </c>
      <c r="L4" t="s">
        <v>316</v>
      </c>
      <c r="M4" t="s">
        <v>317</v>
      </c>
      <c r="N4" t="s">
        <v>318</v>
      </c>
      <c r="O4" t="s">
        <v>319</v>
      </c>
      <c r="P4" t="s">
        <v>320</v>
      </c>
      <c r="Q4" t="s">
        <v>321</v>
      </c>
      <c r="R4" t="s">
        <v>322</v>
      </c>
      <c r="S4" t="s">
        <v>323</v>
      </c>
      <c r="W4" s="14"/>
    </row>
    <row r="5" spans="1:23">
      <c r="A5" s="8" t="s">
        <v>30</v>
      </c>
      <c r="B5" s="8"/>
      <c r="J5" t="s">
        <v>324</v>
      </c>
      <c r="M5" t="s">
        <v>6</v>
      </c>
      <c r="W5"/>
    </row>
    <row r="6" spans="1:23">
      <c r="A6" s="15" t="s">
        <v>30</v>
      </c>
      <c r="B6" s="15" t="s">
        <v>325</v>
      </c>
      <c r="C6" s="15" t="s">
        <v>326</v>
      </c>
      <c r="D6" s="15" t="s">
        <v>327</v>
      </c>
      <c r="E6" s="15"/>
      <c r="F6" s="15" t="s">
        <v>328</v>
      </c>
      <c r="G6" s="15" t="s">
        <v>329</v>
      </c>
      <c r="H6" s="15" t="s">
        <v>330</v>
      </c>
      <c r="I6" s="2" t="s">
        <v>219</v>
      </c>
      <c r="J6" s="2" t="s">
        <v>331</v>
      </c>
      <c r="K6" s="2" t="s">
        <v>332</v>
      </c>
      <c r="L6" s="2" t="s">
        <v>333</v>
      </c>
      <c r="M6" s="2" t="s">
        <v>334</v>
      </c>
      <c r="N6" s="2" t="s">
        <v>335</v>
      </c>
      <c r="O6" s="2" t="s">
        <v>336</v>
      </c>
      <c r="P6" s="2" t="s">
        <v>337</v>
      </c>
      <c r="Q6" s="2" t="s">
        <v>338</v>
      </c>
      <c r="R6" s="2" t="s">
        <v>339</v>
      </c>
      <c r="S6" s="2" t="s">
        <v>340</v>
      </c>
      <c r="T6" s="2" t="s">
        <v>341</v>
      </c>
      <c r="U6" s="2" t="s">
        <v>342</v>
      </c>
      <c r="V6" s="2" t="s">
        <v>343</v>
      </c>
      <c r="W6" t="s">
        <v>344</v>
      </c>
    </row>
    <row r="7" spans="1:23">
      <c r="B7">
        <v>1001</v>
      </c>
      <c r="C7" t="s">
        <v>345</v>
      </c>
      <c r="E7" t="s">
        <v>346</v>
      </c>
      <c r="F7" t="s">
        <v>252</v>
      </c>
      <c r="G7" t="s">
        <v>253</v>
      </c>
      <c r="H7" t="s">
        <v>347</v>
      </c>
      <c r="L7">
        <v>1</v>
      </c>
      <c r="W7"/>
    </row>
    <row r="8" spans="1:23">
      <c r="B8">
        <v>1002</v>
      </c>
      <c r="C8" t="s">
        <v>348</v>
      </c>
      <c r="E8" t="s">
        <v>346</v>
      </c>
      <c r="F8" t="s">
        <v>252</v>
      </c>
      <c r="G8" t="s">
        <v>253</v>
      </c>
      <c r="H8" t="s">
        <v>349</v>
      </c>
      <c r="I8">
        <v>1005</v>
      </c>
      <c r="K8" t="s">
        <v>290</v>
      </c>
      <c r="L8">
        <v>2</v>
      </c>
      <c r="M8" t="s">
        <v>264</v>
      </c>
      <c r="W8"/>
    </row>
    <row r="9" spans="1:23">
      <c r="B9">
        <v>1003</v>
      </c>
      <c r="C9" t="s">
        <v>350</v>
      </c>
      <c r="E9" t="s">
        <v>346</v>
      </c>
      <c r="F9" t="s">
        <v>252</v>
      </c>
      <c r="G9" t="s">
        <v>253</v>
      </c>
      <c r="H9" t="s">
        <v>351</v>
      </c>
      <c r="J9" t="b">
        <v>1</v>
      </c>
      <c r="P9">
        <v>3</v>
      </c>
      <c r="W9"/>
    </row>
    <row r="10" spans="1:23">
      <c r="B10">
        <v>1004</v>
      </c>
      <c r="C10" t="s">
        <v>352</v>
      </c>
      <c r="E10" t="s">
        <v>346</v>
      </c>
      <c r="F10" t="s">
        <v>252</v>
      </c>
      <c r="G10" t="s">
        <v>253</v>
      </c>
      <c r="H10" t="s">
        <v>353</v>
      </c>
      <c r="J10" t="b">
        <v>1</v>
      </c>
      <c r="L10">
        <v>1</v>
      </c>
      <c r="W10"/>
    </row>
    <row r="11" spans="1:23">
      <c r="B11">
        <v>1005</v>
      </c>
      <c r="C11" t="s">
        <v>354</v>
      </c>
      <c r="E11" t="s">
        <v>346</v>
      </c>
      <c r="F11" t="s">
        <v>252</v>
      </c>
      <c r="G11" t="s">
        <v>253</v>
      </c>
      <c r="H11" t="s">
        <v>355</v>
      </c>
      <c r="K11" t="s">
        <v>254</v>
      </c>
      <c r="L11">
        <v>2</v>
      </c>
      <c r="M11" t="s">
        <v>269</v>
      </c>
      <c r="W11"/>
    </row>
    <row r="12" spans="1:23">
      <c r="B12">
        <v>1006</v>
      </c>
      <c r="C12" t="s">
        <v>356</v>
      </c>
      <c r="E12" t="s">
        <v>346</v>
      </c>
      <c r="F12" t="s">
        <v>252</v>
      </c>
      <c r="G12" t="s">
        <v>253</v>
      </c>
      <c r="H12" t="s">
        <v>357</v>
      </c>
      <c r="J12" t="b">
        <v>1</v>
      </c>
      <c r="K12" t="s">
        <v>289</v>
      </c>
      <c r="L12">
        <v>1</v>
      </c>
      <c r="M12" t="s">
        <v>258</v>
      </c>
      <c r="W12"/>
    </row>
    <row r="13" spans="1:23">
      <c r="B13">
        <v>1007</v>
      </c>
      <c r="C13" s="7" t="s">
        <v>358</v>
      </c>
      <c r="E13" t="s">
        <v>346</v>
      </c>
      <c r="F13" t="s">
        <v>252</v>
      </c>
      <c r="G13" t="s">
        <v>253</v>
      </c>
      <c r="H13" s="7" t="s">
        <v>357</v>
      </c>
      <c r="J13" t="b">
        <v>0</v>
      </c>
      <c r="K13" t="s">
        <v>289</v>
      </c>
      <c r="L13">
        <v>1</v>
      </c>
      <c r="M13" t="s">
        <v>254</v>
      </c>
      <c r="W13"/>
    </row>
    <row r="14" spans="1:23">
      <c r="B14">
        <v>1010</v>
      </c>
      <c r="C14" t="s">
        <v>359</v>
      </c>
      <c r="E14" t="s">
        <v>346</v>
      </c>
      <c r="F14" t="s">
        <v>252</v>
      </c>
      <c r="G14" t="s">
        <v>253</v>
      </c>
      <c r="H14" t="s">
        <v>360</v>
      </c>
      <c r="J14" t="b">
        <v>0</v>
      </c>
      <c r="K14" t="s">
        <v>258</v>
      </c>
      <c r="L14">
        <v>1</v>
      </c>
      <c r="M14" t="s">
        <v>278</v>
      </c>
    </row>
    <row r="15" spans="1:23">
      <c r="B15">
        <v>1011</v>
      </c>
      <c r="C15" t="s">
        <v>361</v>
      </c>
      <c r="E15" t="s">
        <v>346</v>
      </c>
      <c r="F15" t="s">
        <v>252</v>
      </c>
      <c r="G15" t="s">
        <v>253</v>
      </c>
      <c r="H15" t="s">
        <v>362</v>
      </c>
      <c r="J15" t="b">
        <v>1</v>
      </c>
      <c r="K15" t="s">
        <v>269</v>
      </c>
      <c r="L15">
        <v>1</v>
      </c>
      <c r="M15" t="s">
        <v>258</v>
      </c>
      <c r="Q15" t="s">
        <v>279</v>
      </c>
      <c r="R15" t="s">
        <v>171</v>
      </c>
    </row>
    <row r="16" spans="1:23">
      <c r="A16" t="s">
        <v>83</v>
      </c>
    </row>
    <row r="17" spans="1:24">
      <c r="B17">
        <v>2001</v>
      </c>
      <c r="C17" t="s">
        <v>363</v>
      </c>
      <c r="E17" t="s">
        <v>346</v>
      </c>
      <c r="F17" t="s">
        <v>256</v>
      </c>
      <c r="G17" t="s">
        <v>253</v>
      </c>
      <c r="H17" t="s">
        <v>364</v>
      </c>
      <c r="J17" t="b">
        <v>0</v>
      </c>
      <c r="S17" t="s">
        <v>255</v>
      </c>
    </row>
    <row r="18" spans="1:24">
      <c r="B18">
        <v>2002</v>
      </c>
      <c r="C18" t="s">
        <v>365</v>
      </c>
      <c r="E18" t="s">
        <v>346</v>
      </c>
      <c r="F18" t="s">
        <v>252</v>
      </c>
      <c r="G18" t="s">
        <v>253</v>
      </c>
      <c r="H18" t="s">
        <v>366</v>
      </c>
      <c r="J18" t="b">
        <v>1</v>
      </c>
      <c r="L18">
        <v>1</v>
      </c>
      <c r="S18" t="s">
        <v>255</v>
      </c>
    </row>
    <row r="19" spans="1:24">
      <c r="A19" t="s">
        <v>83</v>
      </c>
    </row>
    <row r="20" spans="1:24">
      <c r="B20">
        <v>3001</v>
      </c>
      <c r="C20" t="s">
        <v>367</v>
      </c>
      <c r="E20" t="s">
        <v>346</v>
      </c>
      <c r="F20" t="s">
        <v>252</v>
      </c>
      <c r="G20" t="s">
        <v>257</v>
      </c>
      <c r="H20" t="s">
        <v>368</v>
      </c>
      <c r="I20" t="s">
        <v>106</v>
      </c>
      <c r="J20" t="b">
        <v>0</v>
      </c>
      <c r="K20" t="s">
        <v>264</v>
      </c>
      <c r="L20">
        <v>1</v>
      </c>
      <c r="M20" t="s">
        <v>275</v>
      </c>
    </row>
    <row r="21" spans="1:24">
      <c r="F21" t="s">
        <v>252</v>
      </c>
      <c r="G21" t="s">
        <v>253</v>
      </c>
      <c r="H21" t="s">
        <v>347</v>
      </c>
      <c r="I21" t="s">
        <v>106</v>
      </c>
      <c r="J21" t="s">
        <v>106</v>
      </c>
      <c r="K21" t="s">
        <v>106</v>
      </c>
      <c r="L21">
        <v>1</v>
      </c>
      <c r="M21" t="s">
        <v>106</v>
      </c>
    </row>
    <row r="22" spans="1:24">
      <c r="B22">
        <v>3002</v>
      </c>
      <c r="C22" t="s">
        <v>369</v>
      </c>
      <c r="E22" t="s">
        <v>346</v>
      </c>
      <c r="F22" t="s">
        <v>252</v>
      </c>
      <c r="G22" t="s">
        <v>257</v>
      </c>
      <c r="H22" t="s">
        <v>347</v>
      </c>
      <c r="L22">
        <v>1</v>
      </c>
    </row>
    <row r="23" spans="1:24">
      <c r="F23" t="s">
        <v>262</v>
      </c>
      <c r="G23" t="s">
        <v>253</v>
      </c>
      <c r="H23" t="s">
        <v>360</v>
      </c>
      <c r="J23" t="b">
        <v>0</v>
      </c>
      <c r="K23" t="s">
        <v>258</v>
      </c>
      <c r="L23">
        <v>1</v>
      </c>
      <c r="M23" t="s">
        <v>278</v>
      </c>
    </row>
    <row r="24" spans="1:24">
      <c r="B24">
        <v>3003</v>
      </c>
      <c r="C24" t="s">
        <v>370</v>
      </c>
      <c r="E24" t="s">
        <v>346</v>
      </c>
      <c r="F24" t="s">
        <v>252</v>
      </c>
      <c r="G24" t="s">
        <v>257</v>
      </c>
      <c r="H24" t="s">
        <v>353</v>
      </c>
      <c r="J24" t="b">
        <v>1</v>
      </c>
      <c r="L24">
        <v>1</v>
      </c>
    </row>
    <row r="25" spans="1:24">
      <c r="F25" t="s">
        <v>252</v>
      </c>
      <c r="G25" t="s">
        <v>253</v>
      </c>
      <c r="H25" t="s">
        <v>347</v>
      </c>
      <c r="L25">
        <v>1</v>
      </c>
    </row>
    <row r="26" customFormat="1" spans="1:24">
      <c r="B26">
        <v>3004</v>
      </c>
      <c r="C26" t="s">
        <v>371</v>
      </c>
      <c r="E26" t="s">
        <v>346</v>
      </c>
      <c r="F26" t="s">
        <v>252</v>
      </c>
      <c r="G26" t="s">
        <v>257</v>
      </c>
      <c r="H26" t="s">
        <v>347</v>
      </c>
      <c r="L26">
        <v>1</v>
      </c>
      <c r="W26" s="7"/>
      <c r="X26" s="16"/>
    </row>
    <row r="27" customFormat="1" spans="1:24">
      <c r="F27" t="s">
        <v>252</v>
      </c>
      <c r="G27" t="s">
        <v>253</v>
      </c>
      <c r="H27" t="s">
        <v>353</v>
      </c>
      <c r="J27" t="b">
        <v>1</v>
      </c>
      <c r="L27">
        <v>1</v>
      </c>
      <c r="W27" s="7"/>
      <c r="X27" s="16"/>
    </row>
    <row r="28" spans="1:24">
      <c r="A28" t="s">
        <v>83</v>
      </c>
    </row>
    <row r="29" spans="1:24">
      <c r="B29">
        <v>4001</v>
      </c>
      <c r="C29" t="s">
        <v>372</v>
      </c>
      <c r="E29" t="s">
        <v>346</v>
      </c>
      <c r="F29" t="s">
        <v>252</v>
      </c>
      <c r="G29" t="s">
        <v>253</v>
      </c>
      <c r="H29" t="s">
        <v>373</v>
      </c>
      <c r="J29" t="b">
        <v>0</v>
      </c>
      <c r="K29" t="s">
        <v>254</v>
      </c>
      <c r="L29">
        <v>2</v>
      </c>
      <c r="M29" t="s">
        <v>269</v>
      </c>
      <c r="N29">
        <v>1</v>
      </c>
    </row>
    <row r="30" spans="1:24">
      <c r="B30">
        <v>4002</v>
      </c>
      <c r="C30" t="s">
        <v>374</v>
      </c>
      <c r="E30" t="s">
        <v>346</v>
      </c>
      <c r="F30" t="s">
        <v>252</v>
      </c>
      <c r="G30" t="s">
        <v>253</v>
      </c>
      <c r="H30" t="s">
        <v>375</v>
      </c>
      <c r="J30" t="b">
        <v>1</v>
      </c>
      <c r="K30" t="s">
        <v>254</v>
      </c>
      <c r="L30">
        <v>2</v>
      </c>
      <c r="M30" t="s">
        <v>269</v>
      </c>
      <c r="N30">
        <v>99</v>
      </c>
      <c r="Q30" t="s">
        <v>43</v>
      </c>
      <c r="R30" t="s">
        <v>69</v>
      </c>
    </row>
    <row r="31" spans="1:24">
      <c r="A31" t="s">
        <v>83</v>
      </c>
    </row>
    <row r="32" spans="1:24">
      <c r="B32">
        <v>10001</v>
      </c>
      <c r="C32" t="s">
        <v>376</v>
      </c>
      <c r="E32" t="s">
        <v>346</v>
      </c>
      <c r="F32" t="s">
        <v>252</v>
      </c>
      <c r="G32" t="s">
        <v>253</v>
      </c>
      <c r="H32" t="s">
        <v>347</v>
      </c>
      <c r="L32">
        <v>2</v>
      </c>
    </row>
    <row r="33" spans="1:24">
      <c r="B33">
        <v>10002</v>
      </c>
      <c r="C33" t="s">
        <v>377</v>
      </c>
      <c r="E33" t="s">
        <v>346</v>
      </c>
      <c r="F33" t="s">
        <v>252</v>
      </c>
      <c r="G33" t="s">
        <v>253</v>
      </c>
      <c r="H33" t="s">
        <v>351</v>
      </c>
      <c r="J33" t="b">
        <v>0</v>
      </c>
      <c r="P33">
        <v>5</v>
      </c>
    </row>
    <row r="34" spans="1:24">
      <c r="B34">
        <v>10003</v>
      </c>
      <c r="C34" t="s">
        <v>378</v>
      </c>
      <c r="E34" t="s">
        <v>346</v>
      </c>
      <c r="F34" t="s">
        <v>252</v>
      </c>
      <c r="G34" t="s">
        <v>253</v>
      </c>
      <c r="H34" t="s">
        <v>349</v>
      </c>
      <c r="I34">
        <v>1031</v>
      </c>
      <c r="K34" t="s">
        <v>290</v>
      </c>
      <c r="L34">
        <v>1</v>
      </c>
      <c r="M34" t="s">
        <v>258</v>
      </c>
    </row>
    <row r="35" spans="1:24">
      <c r="A35" t="s">
        <v>83</v>
      </c>
    </row>
    <row r="36" customFormat="1" spans="1:24">
      <c r="B36">
        <v>90001</v>
      </c>
      <c r="C36" t="s">
        <v>379</v>
      </c>
      <c r="E36" t="s">
        <v>346</v>
      </c>
      <c r="F36" t="s">
        <v>252</v>
      </c>
      <c r="G36" t="s">
        <v>253</v>
      </c>
      <c r="H36" t="s">
        <v>360</v>
      </c>
      <c r="J36" t="b">
        <v>0</v>
      </c>
      <c r="K36" t="s">
        <v>380</v>
      </c>
      <c r="L36">
        <v>1</v>
      </c>
      <c r="M36" t="s">
        <v>278</v>
      </c>
      <c r="W36" s="7"/>
      <c r="X36" s="16"/>
    </row>
  </sheetData>
  <mergeCells count="7">
    <mergeCell ref="E1:G1"/>
    <mergeCell ref="H1:S1"/>
    <mergeCell ref="U1:V1"/>
    <mergeCell ref="U2:V2"/>
    <mergeCell ref="E3:G3"/>
    <mergeCell ref="H3:S3"/>
    <mergeCell ref="U3:V3"/>
  </mergeCells>
  <dataValidations count="6">
    <dataValidation type="list" allowBlank="1" showInputMessage="1" showErrorMessage="1" sqref="K8 K20 M20 K23 M23 K34 M34 M36 K11:K15 K29:K30 M7:M15 M29:M30">
      <formula1>枚举!$Q$3:$Q$13</formula1>
    </dataValidation>
    <dataValidation type="list" allowBlank="1" showInputMessage="1" showErrorMessage="1" sqref="Q15 Q29:Q30">
      <formula1>枚举!$S$3:$S$8</formula1>
    </dataValidation>
    <dataValidation type="list" allowBlank="1" showInputMessage="1" showErrorMessage="1" sqref="R15 R30">
      <formula1>枚举!$A$3:$A$38</formula1>
    </dataValidation>
    <dataValidation type="list" allowBlank="1" showInputMessage="1" showErrorMessage="1" sqref="G20 G36 G7:G15 G17:G18 G22:G27 G29:G30 G32:G34">
      <formula1>枚举!$O$3:$O$7</formula1>
    </dataValidation>
    <dataValidation type="list" allowBlank="1" showInputMessage="1" showErrorMessage="1" sqref="F36 F7:F15 F17:F18 F22:F27 F29:F30 F32:F34">
      <formula1>枚举!$M$3:$M$7</formula1>
    </dataValidation>
    <dataValidation type="list" allowBlank="1" showInputMessage="1" showErrorMessage="1" sqref="S17:T19">
      <formula1>枚举!$K$3:$K$6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workbookViewId="0">
      <selection activeCell="K15" sqref="K15"/>
    </sheetView>
  </sheetViews>
  <sheetFormatPr defaultColWidth="8.66666666666667" defaultRowHeight="17.4"/>
  <cols>
    <col min="1" max="1" width="6.91666666666667" customWidth="1"/>
    <col min="2" max="2" width="6.33333333333333" customWidth="1"/>
    <col min="3" max="3" width="26.0833333333333" customWidth="1"/>
    <col min="4" max="5" width="12.3333333333333" customWidth="1"/>
    <col min="6" max="6" width="14.5" customWidth="1"/>
    <col min="7" max="7" width="16.8333333333333" customWidth="1"/>
    <col min="8" max="8" width="17.9166666666667" style="7" customWidth="1"/>
    <col min="9" max="9" width="19" customWidth="1"/>
    <col min="10" max="10" width="13.25" customWidth="1"/>
    <col min="11" max="11" width="13.3333333333333" customWidth="1"/>
  </cols>
  <sheetData>
    <row r="1" spans="1:23">
      <c r="A1" s="8" t="s">
        <v>10</v>
      </c>
      <c r="B1" s="8" t="s">
        <v>11</v>
      </c>
      <c r="C1" s="8" t="s">
        <v>12</v>
      </c>
      <c r="D1" s="8" t="s">
        <v>209</v>
      </c>
      <c r="E1" s="9" t="s">
        <v>297</v>
      </c>
      <c r="F1" s="9"/>
      <c r="G1" s="9"/>
      <c r="H1" s="10" t="s">
        <v>301</v>
      </c>
      <c r="I1" t="s">
        <v>299</v>
      </c>
      <c r="J1" s="11" t="s">
        <v>381</v>
      </c>
      <c r="K1" s="11"/>
      <c r="L1" s="3" t="s">
        <v>298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25" customHeight="1" spans="1:23">
      <c r="A2" s="8" t="s">
        <v>30</v>
      </c>
      <c r="B2" s="12" t="s">
        <v>302</v>
      </c>
      <c r="C2" s="1" t="s">
        <v>303</v>
      </c>
      <c r="D2" s="1" t="s">
        <v>382</v>
      </c>
      <c r="E2" s="1"/>
      <c r="F2" s="8"/>
      <c r="G2" s="8"/>
      <c r="H2" s="8"/>
      <c r="I2" s="12" t="s">
        <v>305</v>
      </c>
      <c r="J2" s="13" t="s">
        <v>383</v>
      </c>
      <c r="K2" s="13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8" t="s">
        <v>23</v>
      </c>
      <c r="B3" s="8" t="s">
        <v>24</v>
      </c>
      <c r="C3" s="8" t="s">
        <v>25</v>
      </c>
      <c r="D3" s="8" t="s">
        <v>25</v>
      </c>
      <c r="E3" s="9" t="s">
        <v>307</v>
      </c>
      <c r="F3" s="9"/>
      <c r="G3" s="9"/>
      <c r="H3" s="10" t="s">
        <v>25</v>
      </c>
      <c r="I3" s="8" t="s">
        <v>25</v>
      </c>
      <c r="J3" s="11" t="s">
        <v>309</v>
      </c>
      <c r="K3" s="11"/>
      <c r="L3" s="3" t="s">
        <v>308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1" spans="1:23">
      <c r="A4" s="8" t="s">
        <v>10</v>
      </c>
      <c r="B4" s="8"/>
      <c r="E4" t="s">
        <v>310</v>
      </c>
      <c r="F4" t="s">
        <v>311</v>
      </c>
      <c r="G4" s="14" t="s">
        <v>312</v>
      </c>
      <c r="H4" s="14"/>
      <c r="L4" t="s">
        <v>310</v>
      </c>
      <c r="M4" t="s">
        <v>313</v>
      </c>
      <c r="N4" t="s">
        <v>314</v>
      </c>
      <c r="O4" t="s">
        <v>315</v>
      </c>
      <c r="P4" t="s">
        <v>316</v>
      </c>
      <c r="Q4" t="s">
        <v>317</v>
      </c>
      <c r="R4" t="s">
        <v>318</v>
      </c>
      <c r="S4" t="s">
        <v>319</v>
      </c>
      <c r="T4" t="s">
        <v>320</v>
      </c>
      <c r="U4" t="s">
        <v>321</v>
      </c>
      <c r="V4" t="s">
        <v>322</v>
      </c>
      <c r="W4" t="s">
        <v>323</v>
      </c>
    </row>
    <row r="5" customFormat="1" spans="1:23">
      <c r="A5" s="8" t="s">
        <v>30</v>
      </c>
      <c r="B5" s="8"/>
      <c r="N5" t="s">
        <v>324</v>
      </c>
      <c r="Q5" t="s">
        <v>6</v>
      </c>
    </row>
    <row r="6" spans="1:23">
      <c r="A6" s="15" t="s">
        <v>30</v>
      </c>
      <c r="B6" s="15" t="s">
        <v>325</v>
      </c>
      <c r="C6" s="15" t="s">
        <v>326</v>
      </c>
      <c r="D6" s="15" t="s">
        <v>327</v>
      </c>
      <c r="E6" s="15"/>
      <c r="F6" s="15" t="s">
        <v>328</v>
      </c>
      <c r="G6" s="15" t="s">
        <v>329</v>
      </c>
      <c r="H6" t="s">
        <v>344</v>
      </c>
      <c r="I6" s="2" t="s">
        <v>341</v>
      </c>
      <c r="J6" s="2" t="s">
        <v>342</v>
      </c>
      <c r="K6" s="2" t="s">
        <v>343</v>
      </c>
      <c r="L6" s="15" t="s">
        <v>330</v>
      </c>
      <c r="M6" s="2" t="s">
        <v>219</v>
      </c>
      <c r="N6" s="2" t="s">
        <v>331</v>
      </c>
      <c r="O6" s="2" t="s">
        <v>332</v>
      </c>
      <c r="P6" s="2" t="s">
        <v>333</v>
      </c>
      <c r="Q6" s="2" t="s">
        <v>334</v>
      </c>
      <c r="R6" s="2" t="s">
        <v>335</v>
      </c>
      <c r="S6" s="2" t="s">
        <v>336</v>
      </c>
      <c r="T6" s="2" t="s">
        <v>337</v>
      </c>
      <c r="U6" s="2" t="s">
        <v>338</v>
      </c>
      <c r="V6" s="2" t="s">
        <v>339</v>
      </c>
      <c r="W6" s="2" t="s">
        <v>340</v>
      </c>
    </row>
    <row r="7" customFormat="1" spans="1:23">
      <c r="B7">
        <v>20001</v>
      </c>
      <c r="C7" t="s">
        <v>384</v>
      </c>
      <c r="E7" t="s">
        <v>346</v>
      </c>
      <c r="F7" t="s">
        <v>252</v>
      </c>
      <c r="G7" t="s">
        <v>253</v>
      </c>
      <c r="H7" t="s">
        <v>385</v>
      </c>
      <c r="I7" t="s">
        <v>386</v>
      </c>
      <c r="J7" t="s">
        <v>387</v>
      </c>
      <c r="K7">
        <v>5</v>
      </c>
      <c r="L7" t="s">
        <v>388</v>
      </c>
    </row>
    <row r="8" spans="1:23">
      <c r="B8">
        <v>20002</v>
      </c>
      <c r="C8" t="s">
        <v>389</v>
      </c>
      <c r="E8" t="s">
        <v>346</v>
      </c>
      <c r="F8" t="s">
        <v>252</v>
      </c>
      <c r="G8" t="s">
        <v>253</v>
      </c>
      <c r="H8" t="s">
        <v>390</v>
      </c>
      <c r="I8" t="s">
        <v>391</v>
      </c>
      <c r="J8" t="s">
        <v>392</v>
      </c>
      <c r="K8">
        <v>-1</v>
      </c>
      <c r="L8" t="s">
        <v>388</v>
      </c>
    </row>
    <row r="9" spans="1:23">
      <c r="H9"/>
    </row>
    <row r="10" spans="1:23">
      <c r="H10"/>
    </row>
    <row r="11" spans="1:23">
      <c r="H11"/>
    </row>
    <row r="12" spans="1:23">
      <c r="H12"/>
    </row>
    <row r="13" spans="1:23">
      <c r="H13"/>
    </row>
  </sheetData>
  <mergeCells count="7">
    <mergeCell ref="E1:G1"/>
    <mergeCell ref="J1:K1"/>
    <mergeCell ref="L1:W1"/>
    <mergeCell ref="J2:K2"/>
    <mergeCell ref="E3:G3"/>
    <mergeCell ref="J3:K3"/>
    <mergeCell ref="L3:W3"/>
  </mergeCells>
  <dataValidations count="2">
    <dataValidation type="list" allowBlank="1" showInputMessage="1" showErrorMessage="1" sqref="F7:F8">
      <formula1>枚举!$M$3:$M$7</formula1>
    </dataValidation>
    <dataValidation type="list" allowBlank="1" showInputMessage="1" showErrorMessage="1" sqref="G7:G8">
      <formula1>枚举!$O$3:$O$7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H26" sqref="H26"/>
    </sheetView>
  </sheetViews>
  <sheetFormatPr defaultColWidth="8.66666666666667" defaultRowHeight="17.4" outlineLevelCol="4"/>
  <sheetData>
    <row r="1" spans="1:5">
      <c r="A1" t="s">
        <v>10</v>
      </c>
      <c r="B1" t="s">
        <v>11</v>
      </c>
      <c r="D1" t="s">
        <v>393</v>
      </c>
    </row>
    <row r="2" spans="1:5">
      <c r="A2" t="s">
        <v>23</v>
      </c>
      <c r="B2" t="s">
        <v>24</v>
      </c>
      <c r="D2" t="s">
        <v>25</v>
      </c>
    </row>
    <row r="3" ht="69.6" spans="1:5">
      <c r="A3" t="s">
        <v>30</v>
      </c>
      <c r="D3" s="1" t="s">
        <v>394</v>
      </c>
    </row>
    <row r="4" spans="1:5">
      <c r="A4" t="s">
        <v>30</v>
      </c>
      <c r="B4" t="s">
        <v>395</v>
      </c>
      <c r="C4" t="s">
        <v>396</v>
      </c>
      <c r="D4" t="s">
        <v>397</v>
      </c>
      <c r="E4" t="s">
        <v>398</v>
      </c>
    </row>
    <row r="5" spans="1:5">
      <c r="A5" t="s">
        <v>106</v>
      </c>
      <c r="B5">
        <v>1001</v>
      </c>
      <c r="C5">
        <v>1001</v>
      </c>
      <c r="D5" s="5" t="s">
        <v>399</v>
      </c>
      <c r="E5" t="s">
        <v>400</v>
      </c>
    </row>
    <row r="6" spans="1:5">
      <c r="A6" t="s">
        <v>106</v>
      </c>
      <c r="B6">
        <v>1002</v>
      </c>
      <c r="C6">
        <v>1002</v>
      </c>
      <c r="D6" s="5" t="s">
        <v>401</v>
      </c>
      <c r="E6" t="s">
        <v>402</v>
      </c>
    </row>
    <row r="7" spans="1:5">
      <c r="A7" t="s">
        <v>106</v>
      </c>
      <c r="B7">
        <v>1003</v>
      </c>
      <c r="C7">
        <v>1003</v>
      </c>
      <c r="D7" s="6" t="s">
        <v>403</v>
      </c>
      <c r="E7" t="s">
        <v>404</v>
      </c>
    </row>
    <row r="8" spans="1:5">
      <c r="A8" t="s">
        <v>106</v>
      </c>
      <c r="B8">
        <v>1004</v>
      </c>
      <c r="C8">
        <v>1004</v>
      </c>
      <c r="D8" s="5" t="s">
        <v>405</v>
      </c>
      <c r="E8" t="s">
        <v>406</v>
      </c>
    </row>
    <row r="9" spans="1:5">
      <c r="A9" t="s">
        <v>106</v>
      </c>
      <c r="B9">
        <v>1005</v>
      </c>
      <c r="C9">
        <v>1005</v>
      </c>
      <c r="D9" t="s">
        <v>407</v>
      </c>
      <c r="E9" t="s">
        <v>64</v>
      </c>
    </row>
    <row r="10" spans="1:5">
      <c r="A10" t="s">
        <v>106</v>
      </c>
      <c r="B10">
        <v>1006</v>
      </c>
      <c r="C10">
        <v>1006</v>
      </c>
      <c r="D10" t="s">
        <v>408</v>
      </c>
      <c r="E10" t="s">
        <v>409</v>
      </c>
    </row>
    <row r="11" spans="1:5">
      <c r="A11" t="s">
        <v>106</v>
      </c>
      <c r="B11">
        <v>1007</v>
      </c>
      <c r="C11">
        <v>1007</v>
      </c>
      <c r="D11" t="s">
        <v>410</v>
      </c>
      <c r="E11" t="s">
        <v>170</v>
      </c>
    </row>
    <row r="12" spans="1:5">
      <c r="A12" t="s">
        <v>106</v>
      </c>
      <c r="B12">
        <v>1008</v>
      </c>
      <c r="C12">
        <v>1008</v>
      </c>
      <c r="D12" t="s">
        <v>411</v>
      </c>
      <c r="E12" t="s">
        <v>412</v>
      </c>
    </row>
    <row r="13" spans="1:5">
      <c r="A13" t="s">
        <v>106</v>
      </c>
      <c r="B13">
        <v>1009</v>
      </c>
      <c r="C13">
        <v>1009</v>
      </c>
      <c r="D13" t="s">
        <v>413</v>
      </c>
      <c r="E13" t="s">
        <v>77</v>
      </c>
    </row>
    <row r="14" spans="1:5">
      <c r="A14" t="s">
        <v>106</v>
      </c>
      <c r="B14">
        <v>1010</v>
      </c>
      <c r="C14">
        <v>1010</v>
      </c>
      <c r="D14" s="5" t="s">
        <v>414</v>
      </c>
      <c r="E14" t="s">
        <v>415</v>
      </c>
    </row>
    <row r="15" spans="1:5">
      <c r="A15" t="s">
        <v>106</v>
      </c>
      <c r="B15">
        <v>1011</v>
      </c>
      <c r="C15">
        <v>1011</v>
      </c>
      <c r="D15" t="s">
        <v>416</v>
      </c>
      <c r="E15" t="s">
        <v>81</v>
      </c>
    </row>
    <row r="16" spans="1:5">
      <c r="A16" t="s">
        <v>106</v>
      </c>
      <c r="B16">
        <v>1012</v>
      </c>
      <c r="C16">
        <v>1012</v>
      </c>
      <c r="D16" t="s">
        <v>417</v>
      </c>
      <c r="E16" t="s">
        <v>84</v>
      </c>
    </row>
    <row r="17" spans="1:5">
      <c r="A17" t="s">
        <v>106</v>
      </c>
      <c r="B17">
        <v>1013</v>
      </c>
      <c r="C17">
        <v>1013</v>
      </c>
      <c r="D17" t="s">
        <v>418</v>
      </c>
      <c r="E17" t="s">
        <v>419</v>
      </c>
    </row>
    <row r="18" spans="1:5">
      <c r="A18" t="s">
        <v>106</v>
      </c>
      <c r="B18">
        <v>1014</v>
      </c>
      <c r="C18">
        <v>1014</v>
      </c>
      <c r="D18" t="s">
        <v>420</v>
      </c>
      <c r="E18" t="s">
        <v>421</v>
      </c>
    </row>
    <row r="19" spans="1:5">
      <c r="A19" t="s">
        <v>106</v>
      </c>
      <c r="B19">
        <v>1015</v>
      </c>
      <c r="C19">
        <v>1015</v>
      </c>
      <c r="D19" t="s">
        <v>422</v>
      </c>
      <c r="E19" t="s">
        <v>93</v>
      </c>
    </row>
    <row r="20" spans="1:5">
      <c r="A20" t="s">
        <v>106</v>
      </c>
      <c r="B20">
        <v>1016</v>
      </c>
      <c r="C20">
        <v>1016</v>
      </c>
      <c r="D20" t="s">
        <v>423</v>
      </c>
      <c r="E20" t="s">
        <v>424</v>
      </c>
    </row>
    <row r="21" spans="1:5">
      <c r="A21" t="s">
        <v>106</v>
      </c>
      <c r="B21">
        <v>1017</v>
      </c>
      <c r="C21">
        <v>1017</v>
      </c>
      <c r="D21" s="6" t="s">
        <v>425</v>
      </c>
      <c r="E21" t="s">
        <v>98</v>
      </c>
    </row>
    <row r="22" spans="1:5">
      <c r="A22" t="s">
        <v>106</v>
      </c>
      <c r="B22">
        <v>1018</v>
      </c>
      <c r="C22">
        <v>1018</v>
      </c>
      <c r="D22" t="s">
        <v>426</v>
      </c>
      <c r="E22" t="s">
        <v>427</v>
      </c>
    </row>
    <row r="23" spans="1:5">
      <c r="A23" t="s">
        <v>106</v>
      </c>
      <c r="B23">
        <v>1019</v>
      </c>
      <c r="C23">
        <v>1019</v>
      </c>
      <c r="D23" t="s">
        <v>428</v>
      </c>
      <c r="E23" t="s">
        <v>429</v>
      </c>
    </row>
    <row r="24" spans="1:5">
      <c r="A24" t="s">
        <v>106</v>
      </c>
      <c r="B24">
        <v>1020</v>
      </c>
      <c r="C24">
        <v>1020</v>
      </c>
      <c r="D24" t="s">
        <v>430</v>
      </c>
      <c r="E24" t="s">
        <v>431</v>
      </c>
    </row>
    <row r="25" spans="1:5">
      <c r="A25" t="s">
        <v>106</v>
      </c>
      <c r="B25">
        <v>1021</v>
      </c>
      <c r="C25">
        <v>1021</v>
      </c>
      <c r="D25" t="s">
        <v>432</v>
      </c>
      <c r="E25" t="s">
        <v>433</v>
      </c>
    </row>
    <row r="26" spans="1:5">
      <c r="A26" t="s">
        <v>106</v>
      </c>
      <c r="B26">
        <v>1022</v>
      </c>
      <c r="C26">
        <v>1022</v>
      </c>
      <c r="D26" t="s">
        <v>417</v>
      </c>
      <c r="E26" t="s">
        <v>118</v>
      </c>
    </row>
    <row r="27" spans="1:5">
      <c r="A27" t="s">
        <v>106</v>
      </c>
      <c r="B27">
        <v>1023</v>
      </c>
      <c r="C27">
        <v>1023</v>
      </c>
      <c r="D27" t="s">
        <v>434</v>
      </c>
      <c r="E27" t="s">
        <v>122</v>
      </c>
    </row>
    <row r="28" spans="1:5">
      <c r="A28" t="s">
        <v>106</v>
      </c>
      <c r="B28">
        <v>1024</v>
      </c>
      <c r="C28">
        <v>1024</v>
      </c>
      <c r="D28" t="s">
        <v>435</v>
      </c>
      <c r="E28" t="s">
        <v>124</v>
      </c>
    </row>
    <row r="29" spans="1:5">
      <c r="A29" t="s">
        <v>106</v>
      </c>
      <c r="B29">
        <v>1025</v>
      </c>
      <c r="C29">
        <v>1025</v>
      </c>
      <c r="D29" t="s">
        <v>436</v>
      </c>
      <c r="E29" t="s">
        <v>127</v>
      </c>
    </row>
    <row r="30" spans="1:5">
      <c r="A30" t="s">
        <v>106</v>
      </c>
      <c r="B30">
        <v>1026</v>
      </c>
      <c r="C30">
        <v>1026</v>
      </c>
      <c r="D30" t="s">
        <v>437</v>
      </c>
      <c r="E30" t="s">
        <v>130</v>
      </c>
    </row>
    <row r="31" spans="1:5">
      <c r="A31" t="s">
        <v>106</v>
      </c>
      <c r="B31">
        <v>1027</v>
      </c>
      <c r="C31">
        <v>1027</v>
      </c>
      <c r="D31" t="s">
        <v>438</v>
      </c>
      <c r="E31" t="s">
        <v>133</v>
      </c>
    </row>
    <row r="32" spans="1:5">
      <c r="A32" t="s">
        <v>106</v>
      </c>
      <c r="B32">
        <v>1028</v>
      </c>
      <c r="C32">
        <v>1028</v>
      </c>
      <c r="D32" t="s">
        <v>439</v>
      </c>
      <c r="E32" t="s">
        <v>440</v>
      </c>
    </row>
    <row r="33" spans="1:5">
      <c r="A33" t="s">
        <v>106</v>
      </c>
      <c r="B33">
        <v>1029</v>
      </c>
      <c r="C33">
        <v>1029</v>
      </c>
      <c r="D33" t="s">
        <v>441</v>
      </c>
      <c r="E33" t="s">
        <v>140</v>
      </c>
    </row>
    <row r="34" spans="1:5">
      <c r="A34" t="s">
        <v>106</v>
      </c>
      <c r="B34">
        <v>1030</v>
      </c>
      <c r="C34">
        <v>1030</v>
      </c>
      <c r="D34" t="s">
        <v>442</v>
      </c>
      <c r="E34" t="s">
        <v>146</v>
      </c>
    </row>
    <row r="35" spans="1:5">
      <c r="A35" t="s">
        <v>106</v>
      </c>
      <c r="B35">
        <v>1031</v>
      </c>
      <c r="C35">
        <v>1031</v>
      </c>
      <c r="D35" t="s">
        <v>443</v>
      </c>
      <c r="E35" t="s">
        <v>149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workbookViewId="0">
      <selection activeCell="H16" sqref="H16"/>
    </sheetView>
  </sheetViews>
  <sheetFormatPr defaultColWidth="8.66666666666667" defaultRowHeight="17.4"/>
  <cols>
    <col min="1" max="1" width="6.91666666666667" customWidth="1"/>
    <col min="2" max="2" width="6.25" customWidth="1"/>
    <col min="3" max="3" width="11.3333333333333" customWidth="1"/>
    <col min="4" max="4" width="20.9166666666667" customWidth="1"/>
    <col min="5" max="5" width="10.1666666666667" customWidth="1"/>
    <col min="6" max="6" width="6.33333333333333" customWidth="1"/>
    <col min="7" max="7" width="13.75" customWidth="1"/>
    <col min="8" max="8" width="4.91666666666667" customWidth="1"/>
    <col min="9" max="11" width="13.75" customWidth="1"/>
    <col min="12" max="12" width="17.8333333333333" customWidth="1"/>
    <col min="13" max="13" width="16.1666666666667" customWidth="1"/>
    <col min="14" max="14" width="12.4166666666667" customWidth="1"/>
    <col min="15" max="15" width="12.25" customWidth="1"/>
    <col min="16" max="17" width="8.91666666666667" customWidth="1"/>
  </cols>
  <sheetData>
    <row r="1" spans="1:17">
      <c r="A1" t="s">
        <v>10</v>
      </c>
      <c r="B1" t="s">
        <v>11</v>
      </c>
      <c r="C1" t="s">
        <v>12</v>
      </c>
      <c r="D1" t="s">
        <v>444</v>
      </c>
      <c r="E1" t="s">
        <v>445</v>
      </c>
      <c r="F1" t="s">
        <v>16</v>
      </c>
      <c r="G1" t="s">
        <v>18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  <c r="P1" t="s">
        <v>37</v>
      </c>
    </row>
    <row r="2" spans="1:17">
      <c r="A2" t="s">
        <v>23</v>
      </c>
      <c r="B2" t="s">
        <v>24</v>
      </c>
      <c r="C2" t="s">
        <v>25</v>
      </c>
      <c r="D2" t="s">
        <v>454</v>
      </c>
      <c r="E2" t="s">
        <v>455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456</v>
      </c>
      <c r="N2" t="s">
        <v>24</v>
      </c>
      <c r="O2" t="s">
        <v>24</v>
      </c>
      <c r="P2" t="s">
        <v>24</v>
      </c>
    </row>
    <row r="3" ht="134" customHeight="1" spans="1:17">
      <c r="A3" t="s">
        <v>30</v>
      </c>
      <c r="B3" t="s">
        <v>106</v>
      </c>
      <c r="C3" t="s">
        <v>106</v>
      </c>
      <c r="D3" t="s">
        <v>106</v>
      </c>
      <c r="E3" t="s">
        <v>106</v>
      </c>
      <c r="F3" t="s">
        <v>106</v>
      </c>
      <c r="G3" t="s">
        <v>106</v>
      </c>
      <c r="H3" s="1" t="s">
        <v>457</v>
      </c>
      <c r="I3" s="1" t="s">
        <v>458</v>
      </c>
      <c r="J3" s="1" t="s">
        <v>459</v>
      </c>
      <c r="M3" t="s">
        <v>106</v>
      </c>
      <c r="N3" t="s">
        <v>106</v>
      </c>
      <c r="O3" t="s">
        <v>106</v>
      </c>
      <c r="P3" t="s">
        <v>106</v>
      </c>
    </row>
    <row r="4" spans="1:17">
      <c r="A4" s="2" t="s">
        <v>30</v>
      </c>
      <c r="B4" s="2" t="s">
        <v>11</v>
      </c>
      <c r="C4" s="2" t="s">
        <v>42</v>
      </c>
      <c r="D4" s="2" t="s">
        <v>460</v>
      </c>
      <c r="E4" s="2" t="s">
        <v>461</v>
      </c>
      <c r="F4" s="2" t="s">
        <v>46</v>
      </c>
      <c r="G4" s="2" t="s">
        <v>462</v>
      </c>
      <c r="H4" s="2" t="s">
        <v>463</v>
      </c>
      <c r="I4" s="2" t="s">
        <v>464</v>
      </c>
      <c r="J4" s="2" t="s">
        <v>465</v>
      </c>
      <c r="K4" s="2" t="s">
        <v>466</v>
      </c>
      <c r="L4" s="2" t="s">
        <v>467</v>
      </c>
      <c r="M4" s="2" t="s">
        <v>468</v>
      </c>
      <c r="N4" s="2" t="s">
        <v>469</v>
      </c>
      <c r="O4" s="2" t="s">
        <v>470</v>
      </c>
      <c r="P4" s="2" t="s">
        <v>471</v>
      </c>
      <c r="Q4" s="2"/>
    </row>
    <row r="5" spans="1:17">
      <c r="A5" t="s">
        <v>106</v>
      </c>
      <c r="B5">
        <v>1001</v>
      </c>
      <c r="C5" t="s">
        <v>472</v>
      </c>
      <c r="D5" t="s">
        <v>473</v>
      </c>
      <c r="E5" t="s">
        <v>474</v>
      </c>
      <c r="F5">
        <v>2</v>
      </c>
      <c r="G5">
        <v>0</v>
      </c>
      <c r="I5">
        <v>1001</v>
      </c>
      <c r="J5">
        <v>1</v>
      </c>
      <c r="K5">
        <v>100</v>
      </c>
      <c r="M5" t="s">
        <v>475</v>
      </c>
      <c r="O5">
        <v>1001</v>
      </c>
    </row>
    <row r="6" spans="1:17">
      <c r="A6" t="s">
        <v>106</v>
      </c>
      <c r="B6">
        <v>1002</v>
      </c>
      <c r="C6" t="s">
        <v>476</v>
      </c>
      <c r="D6" t="s">
        <v>473</v>
      </c>
      <c r="E6" t="s">
        <v>474</v>
      </c>
      <c r="F6">
        <v>3</v>
      </c>
      <c r="G6">
        <v>0</v>
      </c>
      <c r="I6">
        <v>1002</v>
      </c>
      <c r="J6">
        <v>2</v>
      </c>
      <c r="K6">
        <v>100</v>
      </c>
      <c r="M6" t="s">
        <v>475</v>
      </c>
      <c r="O6">
        <v>1001</v>
      </c>
    </row>
    <row r="7" spans="1:17">
      <c r="A7" t="s">
        <v>106</v>
      </c>
      <c r="B7">
        <v>1003</v>
      </c>
      <c r="C7" t="s">
        <v>477</v>
      </c>
      <c r="D7" t="s">
        <v>473</v>
      </c>
      <c r="E7" t="s">
        <v>474</v>
      </c>
      <c r="F7">
        <v>3</v>
      </c>
      <c r="G7">
        <v>0</v>
      </c>
      <c r="I7">
        <v>1002</v>
      </c>
      <c r="J7">
        <v>2</v>
      </c>
      <c r="K7">
        <v>100</v>
      </c>
      <c r="M7" t="s">
        <v>475</v>
      </c>
      <c r="O7">
        <v>1001</v>
      </c>
    </row>
    <row r="8" spans="1:17">
      <c r="A8" t="s">
        <v>106</v>
      </c>
      <c r="B8">
        <v>1004</v>
      </c>
      <c r="C8" t="s">
        <v>478</v>
      </c>
      <c r="D8" t="s">
        <v>473</v>
      </c>
      <c r="E8" t="s">
        <v>474</v>
      </c>
      <c r="F8">
        <v>5</v>
      </c>
      <c r="G8">
        <v>0</v>
      </c>
      <c r="I8">
        <v>1004</v>
      </c>
      <c r="J8">
        <v>4</v>
      </c>
      <c r="K8">
        <v>100</v>
      </c>
      <c r="M8" t="s">
        <v>475</v>
      </c>
      <c r="O8">
        <v>1001</v>
      </c>
    </row>
    <row r="9" spans="1:17">
      <c r="A9" t="s">
        <v>106</v>
      </c>
      <c r="B9">
        <v>1005</v>
      </c>
      <c r="C9" t="s">
        <v>477</v>
      </c>
      <c r="D9" t="s">
        <v>473</v>
      </c>
      <c r="E9" t="s">
        <v>474</v>
      </c>
      <c r="F9">
        <v>6</v>
      </c>
      <c r="G9">
        <v>0</v>
      </c>
      <c r="I9">
        <v>1005</v>
      </c>
      <c r="J9">
        <v>5</v>
      </c>
      <c r="K9">
        <v>100</v>
      </c>
      <c r="M9" t="s">
        <v>475</v>
      </c>
      <c r="O9">
        <v>1001</v>
      </c>
    </row>
    <row r="10" spans="1:17">
      <c r="A10" t="s">
        <v>106</v>
      </c>
      <c r="B10">
        <v>1006</v>
      </c>
      <c r="C10" t="s">
        <v>479</v>
      </c>
      <c r="D10" t="s">
        <v>473</v>
      </c>
      <c r="E10" t="s">
        <v>474</v>
      </c>
      <c r="F10">
        <v>7</v>
      </c>
      <c r="G10">
        <v>0</v>
      </c>
      <c r="I10">
        <v>1005</v>
      </c>
      <c r="J10">
        <v>5</v>
      </c>
      <c r="K10">
        <v>100</v>
      </c>
      <c r="M10" t="s">
        <v>475</v>
      </c>
      <c r="O10">
        <v>1001</v>
      </c>
    </row>
    <row r="11" spans="1:17">
      <c r="A11" t="s">
        <v>106</v>
      </c>
      <c r="B11">
        <v>1007</v>
      </c>
      <c r="C11" t="s">
        <v>480</v>
      </c>
      <c r="D11" t="s">
        <v>473</v>
      </c>
      <c r="E11" t="s">
        <v>474</v>
      </c>
      <c r="F11">
        <v>8</v>
      </c>
      <c r="G11">
        <v>0</v>
      </c>
      <c r="I11">
        <v>1007</v>
      </c>
      <c r="J11">
        <v>7</v>
      </c>
      <c r="K11">
        <v>100</v>
      </c>
      <c r="M11" t="s">
        <v>475</v>
      </c>
      <c r="O11">
        <v>1001</v>
      </c>
    </row>
    <row r="12" spans="1:17">
      <c r="A12" t="s">
        <v>106</v>
      </c>
      <c r="B12">
        <v>1008</v>
      </c>
      <c r="C12" t="s">
        <v>481</v>
      </c>
      <c r="D12" t="s">
        <v>473</v>
      </c>
      <c r="E12" t="s">
        <v>474</v>
      </c>
      <c r="F12">
        <v>9</v>
      </c>
      <c r="G12">
        <v>0</v>
      </c>
      <c r="I12">
        <v>1008</v>
      </c>
      <c r="J12">
        <v>8</v>
      </c>
      <c r="K12">
        <v>100</v>
      </c>
      <c r="M12" t="s">
        <v>475</v>
      </c>
      <c r="O12">
        <v>1001</v>
      </c>
    </row>
    <row r="13" spans="1:17">
      <c r="A13" t="s">
        <v>106</v>
      </c>
      <c r="B13">
        <v>1009</v>
      </c>
      <c r="C13" t="s">
        <v>482</v>
      </c>
      <c r="D13" t="s">
        <v>473</v>
      </c>
      <c r="E13" t="s">
        <v>474</v>
      </c>
      <c r="F13">
        <v>10</v>
      </c>
      <c r="G13">
        <v>0</v>
      </c>
      <c r="I13">
        <v>1009</v>
      </c>
      <c r="J13">
        <v>9</v>
      </c>
      <c r="K13">
        <v>100</v>
      </c>
      <c r="M13" t="s">
        <v>475</v>
      </c>
      <c r="O13">
        <v>1001</v>
      </c>
    </row>
    <row r="14" spans="1:17">
      <c r="A14" t="s">
        <v>106</v>
      </c>
      <c r="B14">
        <v>1010</v>
      </c>
      <c r="C14" t="s">
        <v>483</v>
      </c>
      <c r="D14" t="s">
        <v>473</v>
      </c>
      <c r="E14" t="s">
        <v>474</v>
      </c>
      <c r="F14">
        <v>11</v>
      </c>
      <c r="G14">
        <v>0</v>
      </c>
      <c r="I14">
        <v>1009</v>
      </c>
      <c r="J14">
        <v>9</v>
      </c>
      <c r="K14">
        <v>100</v>
      </c>
      <c r="M14" t="s">
        <v>475</v>
      </c>
      <c r="O14">
        <v>1001</v>
      </c>
    </row>
    <row r="15" spans="1:17">
      <c r="B15">
        <v>1011</v>
      </c>
      <c r="C15" t="s">
        <v>484</v>
      </c>
      <c r="D15" t="s">
        <v>473</v>
      </c>
      <c r="E15" t="s">
        <v>474</v>
      </c>
      <c r="F15">
        <v>12</v>
      </c>
      <c r="G15">
        <v>0</v>
      </c>
      <c r="I15">
        <v>1011</v>
      </c>
      <c r="J15">
        <v>11</v>
      </c>
      <c r="K15">
        <v>100</v>
      </c>
      <c r="M15" t="s">
        <v>475</v>
      </c>
      <c r="O15">
        <v>1001</v>
      </c>
    </row>
    <row r="16" spans="1:17">
      <c r="B16">
        <v>1012</v>
      </c>
      <c r="C16" t="s">
        <v>485</v>
      </c>
      <c r="D16" t="s">
        <v>473</v>
      </c>
      <c r="E16" t="s">
        <v>474</v>
      </c>
      <c r="F16">
        <v>13</v>
      </c>
      <c r="G16">
        <v>0</v>
      </c>
      <c r="I16">
        <v>1012</v>
      </c>
      <c r="J16">
        <v>12</v>
      </c>
      <c r="K16">
        <v>100</v>
      </c>
      <c r="M16" t="s">
        <v>475</v>
      </c>
      <c r="O16">
        <v>1001</v>
      </c>
    </row>
    <row r="17" spans="2:15">
      <c r="B17">
        <v>1013</v>
      </c>
      <c r="C17" t="s">
        <v>486</v>
      </c>
      <c r="D17" t="s">
        <v>473</v>
      </c>
      <c r="E17" t="s">
        <v>474</v>
      </c>
      <c r="F17">
        <v>14</v>
      </c>
      <c r="G17">
        <v>0</v>
      </c>
      <c r="I17">
        <v>1013</v>
      </c>
      <c r="J17">
        <v>13</v>
      </c>
      <c r="K17">
        <v>100</v>
      </c>
      <c r="M17" t="s">
        <v>475</v>
      </c>
      <c r="O17">
        <v>1001</v>
      </c>
    </row>
    <row r="18" spans="2:15">
      <c r="B18">
        <v>1014</v>
      </c>
      <c r="C18" t="s">
        <v>487</v>
      </c>
      <c r="D18" t="s">
        <v>473</v>
      </c>
      <c r="E18" t="s">
        <v>474</v>
      </c>
      <c r="F18">
        <v>15</v>
      </c>
      <c r="G18">
        <v>0</v>
      </c>
      <c r="I18">
        <v>1014</v>
      </c>
      <c r="J18">
        <v>14</v>
      </c>
      <c r="K18">
        <v>100</v>
      </c>
      <c r="M18" t="s">
        <v>475</v>
      </c>
      <c r="O18">
        <v>1001</v>
      </c>
    </row>
    <row r="19" spans="2:15">
      <c r="B19">
        <v>10001</v>
      </c>
      <c r="C19" t="s">
        <v>488</v>
      </c>
      <c r="D19" t="s">
        <v>489</v>
      </c>
      <c r="E19" t="s">
        <v>474</v>
      </c>
      <c r="F19">
        <v>16</v>
      </c>
      <c r="G19">
        <v>0</v>
      </c>
      <c r="H19">
        <v>30</v>
      </c>
      <c r="I19">
        <v>1015</v>
      </c>
      <c r="J19">
        <v>15</v>
      </c>
      <c r="K19">
        <v>100</v>
      </c>
      <c r="M19" t="s">
        <v>475</v>
      </c>
      <c r="O19">
        <v>1001</v>
      </c>
    </row>
    <row r="20" spans="2:15">
      <c r="B20">
        <v>21008</v>
      </c>
      <c r="C20" t="s">
        <v>73</v>
      </c>
      <c r="D20" t="s">
        <v>490</v>
      </c>
      <c r="E20" t="s">
        <v>253</v>
      </c>
      <c r="G20" cm="1">
        <f t="array" ref="G20:G36">LOOKUP(B20:B36,PlayerCard!B:B,PlayerCard!I:I)</f>
        <v>1</v>
      </c>
      <c r="I20">
        <v>1003</v>
      </c>
      <c r="J20">
        <v>3</v>
      </c>
      <c r="K20">
        <v>100</v>
      </c>
      <c r="M20" t="s">
        <v>491</v>
      </c>
      <c r="N20">
        <v>1008</v>
      </c>
    </row>
    <row r="21" spans="2:15">
      <c r="B21">
        <v>21009</v>
      </c>
      <c r="C21" t="s">
        <v>77</v>
      </c>
      <c r="D21" t="s">
        <v>490</v>
      </c>
      <c r="E21" t="s">
        <v>253</v>
      </c>
      <c r="G21">
        <v>1</v>
      </c>
      <c r="I21">
        <v>1003</v>
      </c>
      <c r="J21">
        <v>3</v>
      </c>
      <c r="K21">
        <v>100</v>
      </c>
      <c r="M21" t="s">
        <v>491</v>
      </c>
      <c r="N21">
        <v>1009</v>
      </c>
    </row>
    <row r="22" spans="2:15">
      <c r="B22">
        <v>21010</v>
      </c>
      <c r="C22" t="s">
        <v>79</v>
      </c>
      <c r="D22" t="s">
        <v>490</v>
      </c>
      <c r="E22" t="s">
        <v>253</v>
      </c>
      <c r="G22">
        <v>1</v>
      </c>
      <c r="I22">
        <v>1003</v>
      </c>
      <c r="J22">
        <v>3</v>
      </c>
      <c r="K22">
        <v>100</v>
      </c>
      <c r="M22" t="s">
        <v>491</v>
      </c>
      <c r="N22">
        <v>1010</v>
      </c>
    </row>
    <row r="23" spans="2:15">
      <c r="B23">
        <v>21011</v>
      </c>
      <c r="C23" t="s">
        <v>81</v>
      </c>
      <c r="D23" t="s">
        <v>490</v>
      </c>
      <c r="E23" t="s">
        <v>253</v>
      </c>
      <c r="G23">
        <v>1</v>
      </c>
      <c r="I23">
        <v>1003</v>
      </c>
      <c r="J23">
        <v>3</v>
      </c>
      <c r="K23">
        <v>100</v>
      </c>
      <c r="M23" t="s">
        <v>491</v>
      </c>
      <c r="N23">
        <v>1011</v>
      </c>
    </row>
    <row r="24" spans="2:15">
      <c r="B24">
        <v>21012</v>
      </c>
      <c r="C24" t="s">
        <v>84</v>
      </c>
      <c r="D24" t="s">
        <v>490</v>
      </c>
      <c r="E24" t="s">
        <v>253</v>
      </c>
      <c r="G24">
        <v>1</v>
      </c>
      <c r="I24">
        <v>1003</v>
      </c>
      <c r="J24">
        <v>3</v>
      </c>
      <c r="K24">
        <v>100</v>
      </c>
      <c r="M24" t="s">
        <v>491</v>
      </c>
      <c r="N24">
        <v>1012</v>
      </c>
    </row>
    <row r="25" spans="2:15">
      <c r="B25">
        <v>21013</v>
      </c>
      <c r="C25" t="s">
        <v>87</v>
      </c>
      <c r="D25" t="s">
        <v>490</v>
      </c>
      <c r="E25" t="s">
        <v>253</v>
      </c>
      <c r="G25">
        <v>1</v>
      </c>
      <c r="I25">
        <v>1003</v>
      </c>
      <c r="J25">
        <v>3</v>
      </c>
      <c r="K25">
        <v>100</v>
      </c>
      <c r="M25" t="s">
        <v>491</v>
      </c>
      <c r="N25">
        <v>1013</v>
      </c>
    </row>
    <row r="26" spans="2:15">
      <c r="B26">
        <v>21015</v>
      </c>
      <c r="C26" t="s">
        <v>93</v>
      </c>
      <c r="D26" t="s">
        <v>490</v>
      </c>
      <c r="E26" t="s">
        <v>253</v>
      </c>
      <c r="G26">
        <v>1</v>
      </c>
      <c r="I26">
        <v>1006</v>
      </c>
      <c r="J26">
        <v>6</v>
      </c>
      <c r="K26">
        <v>100</v>
      </c>
      <c r="M26" t="s">
        <v>491</v>
      </c>
      <c r="N26">
        <v>1015</v>
      </c>
    </row>
    <row r="27" spans="2:15">
      <c r="B27">
        <v>21016</v>
      </c>
      <c r="C27" t="s">
        <v>95</v>
      </c>
      <c r="D27" t="s">
        <v>490</v>
      </c>
      <c r="E27" t="s">
        <v>253</v>
      </c>
      <c r="G27">
        <v>1</v>
      </c>
      <c r="I27">
        <v>1006</v>
      </c>
      <c r="J27">
        <v>6</v>
      </c>
      <c r="K27">
        <v>100</v>
      </c>
      <c r="M27" t="s">
        <v>491</v>
      </c>
      <c r="N27">
        <v>1016</v>
      </c>
    </row>
    <row r="28" spans="2:15">
      <c r="B28">
        <v>21017</v>
      </c>
      <c r="C28" t="s">
        <v>98</v>
      </c>
      <c r="D28" t="s">
        <v>490</v>
      </c>
      <c r="E28" t="s">
        <v>253</v>
      </c>
      <c r="G28">
        <v>1</v>
      </c>
      <c r="I28">
        <v>1006</v>
      </c>
      <c r="J28">
        <v>6</v>
      </c>
      <c r="K28">
        <v>100</v>
      </c>
      <c r="M28" t="s">
        <v>491</v>
      </c>
      <c r="N28">
        <v>1017</v>
      </c>
    </row>
    <row r="29" spans="2:15">
      <c r="B29">
        <v>21018</v>
      </c>
      <c r="C29" t="s">
        <v>102</v>
      </c>
      <c r="D29" t="s">
        <v>490</v>
      </c>
      <c r="E29" t="s">
        <v>253</v>
      </c>
      <c r="G29">
        <v>1</v>
      </c>
      <c r="I29">
        <v>1006</v>
      </c>
      <c r="J29">
        <v>6</v>
      </c>
      <c r="K29">
        <v>100</v>
      </c>
      <c r="M29" t="s">
        <v>491</v>
      </c>
      <c r="N29">
        <v>1018</v>
      </c>
    </row>
    <row r="30" spans="2:15">
      <c r="B30">
        <v>21020</v>
      </c>
      <c r="C30" t="s">
        <v>110</v>
      </c>
      <c r="D30" t="s">
        <v>490</v>
      </c>
      <c r="E30" t="s">
        <v>253</v>
      </c>
      <c r="G30">
        <v>1</v>
      </c>
      <c r="I30">
        <v>1006</v>
      </c>
      <c r="J30">
        <v>6</v>
      </c>
      <c r="K30">
        <v>100</v>
      </c>
      <c r="M30" t="s">
        <v>491</v>
      </c>
      <c r="N30">
        <v>1020</v>
      </c>
    </row>
    <row r="31" spans="2:15">
      <c r="B31">
        <v>21021</v>
      </c>
      <c r="C31" t="s">
        <v>114</v>
      </c>
      <c r="D31" t="s">
        <v>490</v>
      </c>
      <c r="E31" t="s">
        <v>253</v>
      </c>
      <c r="G31">
        <v>1</v>
      </c>
      <c r="I31">
        <v>1010</v>
      </c>
      <c r="J31">
        <v>10</v>
      </c>
      <c r="K31">
        <v>100</v>
      </c>
      <c r="M31" t="s">
        <v>491</v>
      </c>
      <c r="N31">
        <v>1021</v>
      </c>
    </row>
    <row r="32" spans="2:15">
      <c r="B32">
        <v>21022</v>
      </c>
      <c r="C32" t="s">
        <v>118</v>
      </c>
      <c r="D32" t="s">
        <v>490</v>
      </c>
      <c r="E32" t="s">
        <v>253</v>
      </c>
      <c r="G32">
        <v>1</v>
      </c>
      <c r="I32">
        <v>1010</v>
      </c>
      <c r="J32">
        <v>10</v>
      </c>
      <c r="K32">
        <v>100</v>
      </c>
      <c r="M32" t="s">
        <v>491</v>
      </c>
      <c r="N32">
        <v>1022</v>
      </c>
    </row>
    <row r="33" spans="2:14">
      <c r="B33">
        <v>21025</v>
      </c>
      <c r="C33" t="s">
        <v>127</v>
      </c>
      <c r="D33" t="s">
        <v>490</v>
      </c>
      <c r="E33" t="s">
        <v>253</v>
      </c>
      <c r="G33">
        <v>1</v>
      </c>
      <c r="I33">
        <v>1010</v>
      </c>
      <c r="J33">
        <v>10</v>
      </c>
      <c r="K33">
        <v>100</v>
      </c>
      <c r="M33" t="s">
        <v>491</v>
      </c>
      <c r="N33">
        <v>1025</v>
      </c>
    </row>
    <row r="34" spans="2:14">
      <c r="B34">
        <v>21026</v>
      </c>
      <c r="C34" t="s">
        <v>130</v>
      </c>
      <c r="D34" t="s">
        <v>490</v>
      </c>
      <c r="E34" t="s">
        <v>253</v>
      </c>
      <c r="G34">
        <v>1</v>
      </c>
      <c r="I34">
        <v>1010</v>
      </c>
      <c r="J34">
        <v>10</v>
      </c>
      <c r="K34">
        <v>100</v>
      </c>
      <c r="M34" t="s">
        <v>491</v>
      </c>
      <c r="N34">
        <v>1026</v>
      </c>
    </row>
    <row r="35" spans="2:14">
      <c r="B35">
        <v>21029</v>
      </c>
      <c r="C35" t="s">
        <v>140</v>
      </c>
      <c r="D35" t="s">
        <v>490</v>
      </c>
      <c r="E35" t="s">
        <v>253</v>
      </c>
      <c r="G35">
        <v>1</v>
      </c>
      <c r="I35">
        <v>1010</v>
      </c>
      <c r="J35">
        <v>10</v>
      </c>
      <c r="K35">
        <v>100</v>
      </c>
      <c r="M35" t="s">
        <v>491</v>
      </c>
      <c r="N35">
        <v>1029</v>
      </c>
    </row>
    <row r="36" spans="2:14">
      <c r="B36">
        <v>21030</v>
      </c>
      <c r="C36" t="s">
        <v>146</v>
      </c>
      <c r="D36" t="s">
        <v>490</v>
      </c>
      <c r="E36" t="s">
        <v>253</v>
      </c>
      <c r="G36">
        <v>1</v>
      </c>
      <c r="I36">
        <v>1010</v>
      </c>
      <c r="J36">
        <v>10</v>
      </c>
      <c r="K36">
        <v>100</v>
      </c>
      <c r="M36" t="s">
        <v>491</v>
      </c>
      <c r="N36">
        <v>1030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H15" sqref="H15"/>
    </sheetView>
  </sheetViews>
  <sheetFormatPr defaultColWidth="8.66666666666667" defaultRowHeight="17.4" outlineLevelCol="6"/>
  <cols>
    <col min="2" max="2" width="8" customWidth="1"/>
    <col min="3" max="3" width="11.8333333333333" customWidth="1"/>
    <col min="4" max="4" width="19.5" customWidth="1"/>
    <col min="5" max="6" width="12.4166666666667" customWidth="1"/>
    <col min="8" max="8" width="30.5833333333333" customWidth="1"/>
  </cols>
  <sheetData>
    <row r="1" spans="1:7">
      <c r="A1" t="s">
        <v>10</v>
      </c>
      <c r="B1" t="s">
        <v>11</v>
      </c>
      <c r="C1" t="s">
        <v>492</v>
      </c>
      <c r="D1" t="s">
        <v>493</v>
      </c>
      <c r="E1" s="3" t="s">
        <v>494</v>
      </c>
      <c r="F1" s="3"/>
      <c r="G1" s="3"/>
    </row>
    <row r="2" spans="1:7">
      <c r="A2" t="s">
        <v>23</v>
      </c>
      <c r="B2" t="s">
        <v>24</v>
      </c>
      <c r="C2" t="s">
        <v>24</v>
      </c>
      <c r="D2" t="s">
        <v>495</v>
      </c>
      <c r="E2" s="3" t="s">
        <v>496</v>
      </c>
      <c r="F2" s="3"/>
      <c r="G2" s="3"/>
    </row>
    <row r="3" spans="1:7">
      <c r="A3" t="s">
        <v>10</v>
      </c>
      <c r="E3" t="s">
        <v>452</v>
      </c>
      <c r="F3" t="s">
        <v>497</v>
      </c>
      <c r="G3" t="s">
        <v>449</v>
      </c>
    </row>
    <row r="4" ht="96" customHeight="1" spans="1:7">
      <c r="A4" t="s">
        <v>30</v>
      </c>
      <c r="C4" s="1" t="s">
        <v>498</v>
      </c>
      <c r="D4" s="1" t="s">
        <v>499</v>
      </c>
      <c r="F4" s="1" t="s">
        <v>500</v>
      </c>
      <c r="G4" s="1" t="s">
        <v>501</v>
      </c>
    </row>
    <row r="5" spans="1:7">
      <c r="A5" t="s">
        <v>30</v>
      </c>
      <c r="B5" t="s">
        <v>502</v>
      </c>
      <c r="C5" t="s">
        <v>503</v>
      </c>
      <c r="D5" t="s">
        <v>504</v>
      </c>
      <c r="E5" s="4" t="s">
        <v>505</v>
      </c>
      <c r="F5" s="4" t="s">
        <v>506</v>
      </c>
      <c r="G5" s="4" t="s">
        <v>466</v>
      </c>
    </row>
    <row r="6" spans="1:7">
      <c r="B6">
        <v>1001</v>
      </c>
      <c r="C6">
        <v>1</v>
      </c>
      <c r="D6" t="b">
        <v>0</v>
      </c>
      <c r="E6">
        <v>1003</v>
      </c>
      <c r="F6">
        <v>1</v>
      </c>
      <c r="G6">
        <v>100</v>
      </c>
    </row>
    <row r="7" spans="1:7">
      <c r="E7">
        <v>1004</v>
      </c>
      <c r="F7">
        <v>1</v>
      </c>
      <c r="G7">
        <v>100</v>
      </c>
    </row>
    <row r="8" spans="1:7">
      <c r="B8">
        <v>1002</v>
      </c>
      <c r="C8">
        <v>1</v>
      </c>
      <c r="D8" t="b">
        <v>0</v>
      </c>
      <c r="E8">
        <v>1005</v>
      </c>
      <c r="F8">
        <v>1</v>
      </c>
      <c r="G8">
        <v>1</v>
      </c>
    </row>
    <row r="9" spans="1:7">
      <c r="E9">
        <v>1006</v>
      </c>
      <c r="F9">
        <v>1</v>
      </c>
      <c r="G9">
        <v>1</v>
      </c>
    </row>
    <row r="10" spans="1:7">
      <c r="E10">
        <v>1007</v>
      </c>
      <c r="F10">
        <v>1</v>
      </c>
      <c r="G10">
        <v>1</v>
      </c>
    </row>
    <row r="11" spans="1:7">
      <c r="E11">
        <v>1008</v>
      </c>
      <c r="F11">
        <v>1</v>
      </c>
      <c r="G11">
        <v>1</v>
      </c>
    </row>
    <row r="12" spans="1:7">
      <c r="E12">
        <v>1009</v>
      </c>
      <c r="F12">
        <v>1</v>
      </c>
      <c r="G12">
        <v>1</v>
      </c>
    </row>
    <row r="13" spans="1:7">
      <c r="E13">
        <v>1010</v>
      </c>
      <c r="F13">
        <v>1</v>
      </c>
      <c r="G13">
        <v>1</v>
      </c>
    </row>
    <row r="14" spans="1:7">
      <c r="E14">
        <v>1011</v>
      </c>
      <c r="F14">
        <v>1</v>
      </c>
      <c r="G14">
        <v>1</v>
      </c>
    </row>
    <row r="15" spans="1:7">
      <c r="E15">
        <v>1012</v>
      </c>
      <c r="F15">
        <v>1</v>
      </c>
      <c r="G15">
        <v>1</v>
      </c>
    </row>
    <row r="16" spans="1:7">
      <c r="E16">
        <v>1013</v>
      </c>
      <c r="F16">
        <v>1</v>
      </c>
      <c r="G16">
        <v>1</v>
      </c>
    </row>
    <row r="17" spans="5:7">
      <c r="E17">
        <v>1014</v>
      </c>
      <c r="F17">
        <v>1</v>
      </c>
      <c r="G17">
        <v>1</v>
      </c>
    </row>
    <row r="18" spans="5:7">
      <c r="E18">
        <v>1015</v>
      </c>
      <c r="F18">
        <v>1</v>
      </c>
      <c r="G18">
        <v>1</v>
      </c>
    </row>
    <row r="19" spans="5:7">
      <c r="E19">
        <v>1016</v>
      </c>
      <c r="F19">
        <v>1</v>
      </c>
      <c r="G19">
        <v>1</v>
      </c>
    </row>
    <row r="20" spans="5:7">
      <c r="E20">
        <v>1017</v>
      </c>
      <c r="F20">
        <v>1</v>
      </c>
      <c r="G20">
        <v>1</v>
      </c>
    </row>
    <row r="21" spans="5:7">
      <c r="E21">
        <v>1018</v>
      </c>
      <c r="F21">
        <v>1</v>
      </c>
      <c r="G21">
        <v>1</v>
      </c>
    </row>
    <row r="22" spans="5:7">
      <c r="E22">
        <v>1019</v>
      </c>
      <c r="F22">
        <v>1</v>
      </c>
      <c r="G22">
        <v>1</v>
      </c>
    </row>
    <row r="23" spans="5:7">
      <c r="E23">
        <v>1020</v>
      </c>
      <c r="F23">
        <v>1</v>
      </c>
      <c r="G23">
        <v>1</v>
      </c>
    </row>
    <row r="24" spans="5:7">
      <c r="E24">
        <v>1021</v>
      </c>
      <c r="F24">
        <v>1</v>
      </c>
      <c r="G24">
        <v>1</v>
      </c>
    </row>
    <row r="25" spans="5:7">
      <c r="E25">
        <v>1022</v>
      </c>
      <c r="F25">
        <v>1</v>
      </c>
      <c r="G25">
        <v>1</v>
      </c>
    </row>
    <row r="26" spans="5:7">
      <c r="E26">
        <v>1023</v>
      </c>
      <c r="F26">
        <v>1</v>
      </c>
      <c r="G26">
        <v>1</v>
      </c>
    </row>
    <row r="27" spans="5:7">
      <c r="E27">
        <v>1024</v>
      </c>
      <c r="F27">
        <v>1</v>
      </c>
      <c r="G27">
        <v>1</v>
      </c>
    </row>
    <row r="28" spans="5:7">
      <c r="E28">
        <v>1025</v>
      </c>
      <c r="F28">
        <v>1</v>
      </c>
      <c r="G28">
        <v>1</v>
      </c>
    </row>
    <row r="29" spans="5:7">
      <c r="E29">
        <v>1026</v>
      </c>
      <c r="F29">
        <v>1</v>
      </c>
      <c r="G29">
        <v>1</v>
      </c>
    </row>
    <row r="30" spans="5:7">
      <c r="E30">
        <v>1027</v>
      </c>
      <c r="F30">
        <v>1</v>
      </c>
      <c r="G30">
        <v>1</v>
      </c>
    </row>
    <row r="31" spans="5:7">
      <c r="E31">
        <v>1028</v>
      </c>
      <c r="F31">
        <v>1</v>
      </c>
      <c r="G31">
        <v>1</v>
      </c>
    </row>
    <row r="32" spans="5:7">
      <c r="E32">
        <v>1029</v>
      </c>
      <c r="F32">
        <v>1</v>
      </c>
      <c r="G32">
        <v>1</v>
      </c>
    </row>
    <row r="33" spans="5:7">
      <c r="E33">
        <v>1030</v>
      </c>
      <c r="F33">
        <v>1</v>
      </c>
      <c r="G33">
        <v>1</v>
      </c>
    </row>
    <row r="34" spans="5:7">
      <c r="E34">
        <v>1031</v>
      </c>
      <c r="F34">
        <v>1</v>
      </c>
      <c r="G34">
        <v>1</v>
      </c>
    </row>
  </sheetData>
  <mergeCells count="2">
    <mergeCell ref="E1:G1"/>
    <mergeCell ref="E2:G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J29" sqref="J29"/>
    </sheetView>
  </sheetViews>
  <sheetFormatPr defaultColWidth="8.66666666666667" defaultRowHeight="17.4" outlineLevelRow="6"/>
  <cols>
    <col min="1" max="1" width="6.91666666666667" customWidth="1"/>
    <col min="2" max="2" width="6.25" customWidth="1"/>
    <col min="3" max="3" width="11.3333333333333" customWidth="1"/>
    <col min="4" max="4" width="20.9166666666667" customWidth="1"/>
    <col min="5" max="5" width="10.1666666666667" customWidth="1"/>
    <col min="6" max="6" width="6.33333333333333" customWidth="1"/>
    <col min="7" max="7" width="13.75" customWidth="1"/>
    <col min="8" max="8" width="4.91666666666667" customWidth="1"/>
    <col min="9" max="11" width="13.75" customWidth="1"/>
    <col min="12" max="12" width="17.8333333333333" customWidth="1"/>
    <col min="13" max="13" width="16.1666666666667" customWidth="1"/>
    <col min="14" max="14" width="12.4166666666667" customWidth="1"/>
    <col min="15" max="15" width="12.25" customWidth="1"/>
    <col min="16" max="17" width="8.91666666666667" customWidth="1"/>
  </cols>
  <sheetData>
    <row r="1" spans="1:17">
      <c r="A1" t="s">
        <v>10</v>
      </c>
      <c r="B1" t="s">
        <v>11</v>
      </c>
      <c r="C1" t="s">
        <v>12</v>
      </c>
      <c r="D1" t="s">
        <v>444</v>
      </c>
      <c r="E1" t="s">
        <v>445</v>
      </c>
      <c r="F1" t="s">
        <v>16</v>
      </c>
      <c r="G1" t="s">
        <v>18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  <c r="P1" t="s">
        <v>37</v>
      </c>
    </row>
    <row r="2" spans="1:17">
      <c r="A2" t="s">
        <v>23</v>
      </c>
      <c r="B2" t="s">
        <v>24</v>
      </c>
      <c r="C2" t="s">
        <v>25</v>
      </c>
      <c r="D2" t="s">
        <v>454</v>
      </c>
      <c r="E2" t="s">
        <v>455</v>
      </c>
      <c r="F2" t="s">
        <v>24</v>
      </c>
      <c r="G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456</v>
      </c>
      <c r="N2" t="s">
        <v>24</v>
      </c>
      <c r="O2" t="s">
        <v>24</v>
      </c>
      <c r="P2" t="s">
        <v>24</v>
      </c>
    </row>
    <row r="3" ht="69" customHeight="1" spans="1:17">
      <c r="A3" t="s">
        <v>30</v>
      </c>
      <c r="B3" t="s">
        <v>106</v>
      </c>
      <c r="C3" t="s">
        <v>106</v>
      </c>
      <c r="D3" t="s">
        <v>106</v>
      </c>
      <c r="E3" t="s">
        <v>106</v>
      </c>
      <c r="F3" t="s">
        <v>106</v>
      </c>
      <c r="G3" t="s">
        <v>106</v>
      </c>
      <c r="H3" s="1" t="s">
        <v>457</v>
      </c>
      <c r="M3" t="s">
        <v>106</v>
      </c>
      <c r="N3" t="s">
        <v>106</v>
      </c>
      <c r="O3" t="s">
        <v>106</v>
      </c>
      <c r="P3" t="s">
        <v>106</v>
      </c>
    </row>
    <row r="4" spans="1:17">
      <c r="A4" s="2" t="s">
        <v>30</v>
      </c>
      <c r="B4" s="2" t="s">
        <v>11</v>
      </c>
      <c r="C4" s="2" t="s">
        <v>42</v>
      </c>
      <c r="D4" s="2" t="s">
        <v>460</v>
      </c>
      <c r="E4" s="2" t="s">
        <v>461</v>
      </c>
      <c r="F4" s="2" t="s">
        <v>46</v>
      </c>
      <c r="G4" s="2" t="s">
        <v>462</v>
      </c>
      <c r="H4" s="2" t="s">
        <v>463</v>
      </c>
      <c r="I4" s="2" t="s">
        <v>464</v>
      </c>
      <c r="J4" s="2" t="s">
        <v>465</v>
      </c>
      <c r="K4" s="2" t="s">
        <v>466</v>
      </c>
      <c r="L4" s="2" t="s">
        <v>467</v>
      </c>
      <c r="M4" s="2" t="s">
        <v>468</v>
      </c>
      <c r="N4" s="2" t="s">
        <v>469</v>
      </c>
      <c r="O4" s="2" t="s">
        <v>470</v>
      </c>
      <c r="P4" s="2" t="s">
        <v>471</v>
      </c>
      <c r="Q4" s="2"/>
    </row>
    <row r="5" spans="1:17">
      <c r="A5" t="s">
        <v>106</v>
      </c>
      <c r="B5">
        <v>1001</v>
      </c>
      <c r="C5" t="s">
        <v>507</v>
      </c>
      <c r="D5" t="s">
        <v>473</v>
      </c>
      <c r="E5" t="s">
        <v>474</v>
      </c>
      <c r="F5">
        <v>2</v>
      </c>
      <c r="G5">
        <v>0</v>
      </c>
      <c r="I5">
        <v>1001</v>
      </c>
      <c r="J5">
        <v>0</v>
      </c>
      <c r="K5">
        <v>100</v>
      </c>
      <c r="L5">
        <v>10</v>
      </c>
      <c r="M5" t="s">
        <v>253</v>
      </c>
    </row>
    <row r="6" spans="1:17">
      <c r="B6">
        <v>21003</v>
      </c>
      <c r="C6" t="s">
        <v>61</v>
      </c>
      <c r="D6" t="s">
        <v>490</v>
      </c>
      <c r="E6" t="s">
        <v>253</v>
      </c>
      <c r="F6">
        <v>0</v>
      </c>
      <c r="G6">
        <v>2</v>
      </c>
      <c r="I6">
        <v>1002</v>
      </c>
      <c r="J6">
        <v>0</v>
      </c>
      <c r="K6">
        <v>100</v>
      </c>
      <c r="M6" t="s">
        <v>491</v>
      </c>
      <c r="N6">
        <v>1003</v>
      </c>
    </row>
    <row r="7" spans="1:17">
      <c r="B7">
        <v>21004</v>
      </c>
      <c r="C7" t="s">
        <v>63</v>
      </c>
      <c r="D7" t="s">
        <v>490</v>
      </c>
      <c r="E7" t="s">
        <v>253</v>
      </c>
      <c r="F7">
        <v>0</v>
      </c>
      <c r="G7">
        <v>3</v>
      </c>
      <c r="I7">
        <v>1003</v>
      </c>
      <c r="J7">
        <v>0</v>
      </c>
      <c r="K7">
        <v>100</v>
      </c>
      <c r="M7" t="s">
        <v>491</v>
      </c>
      <c r="N7">
        <v>1004</v>
      </c>
    </row>
  </sheetData>
  <dataValidations count="3">
    <dataValidation type="list" allowBlank="1" showInputMessage="1" showErrorMessage="1" sqref="G20:G21">
      <formula1>枚举!$C$3:$C$7</formula1>
    </dataValidation>
    <dataValidation type="list" allowBlank="1" showInputMessage="1" showErrorMessage="1" sqref="H20:H21">
      <formula1>枚举!$G$3:$G$6</formula1>
    </dataValidation>
    <dataValidation type="list" allowBlank="1" showInputMessage="1" showErrorMessage="1" sqref="I20:I21">
      <formula1>枚举!$I$3:$I$12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1"/>
  <sheetViews>
    <sheetView workbookViewId="0">
      <selection activeCell="E15" sqref="E15"/>
    </sheetView>
  </sheetViews>
  <sheetFormatPr defaultColWidth="8.66666666666667" defaultRowHeight="17.4" outlineLevelCol="3"/>
  <cols>
    <col min="3" max="3" width="13.4166666666667" customWidth="1"/>
  </cols>
  <sheetData>
    <row r="1" spans="3:4">
      <c r="C1" t="s">
        <v>508</v>
      </c>
      <c r="D1" t="s">
        <v>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Sheet说明</vt:lpstr>
      <vt:lpstr>PlayerCard</vt:lpstr>
      <vt:lpstr>Card 头脑风暴备份</vt:lpstr>
      <vt:lpstr>Recipe</vt:lpstr>
      <vt:lpstr>PlayerClassDeck</vt:lpstr>
      <vt:lpstr>枚举</vt:lpstr>
      <vt:lpstr>Skill</vt:lpstr>
      <vt:lpstr>BespokeSkill</vt:lpstr>
      <vt:lpstr>Asset</vt:lpstr>
      <vt:lpstr>MvpEnemyCard</vt:lpstr>
      <vt:lpstr>MvpRewardPool</vt:lpstr>
      <vt:lpstr>UndercityCard</vt:lpstr>
      <vt:lpstr>GuideRecipe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2026-05-05T02:06:00Z</dcterms:created>
  <dcterms:modified xsi:type="dcterms:W3CDTF">2026-05-24T16:53:48Z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8C9948358FEB4EEA9962B7EC987D4C55_11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