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<sst xmlns="http://schemas.openxmlformats.org/spreadsheetml/2006/main" count="3228" uniqueCount="1381">
  <si>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</si>
  <si>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</si>
  <si>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</si>
  <si>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</si>
  <si>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</si>
  <si>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</si>
  <si>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</si>
  <si>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</si>
  <si>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</si>
  <si>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</si>
  <si>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</si>
  <si>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</si>
  <si>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</si>
  <si>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</si>
  <si>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</si>
  <si>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</si>
  <si>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</si>
  <si>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</si>
  <si>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</si>
  <si>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</si>
  <si>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</si>
  <si>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</si>
  <si>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</si>
  <si>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</si>
  <si>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</si>
  <si>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</si>
  <si>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</si>
  <si>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</si>
  <si>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</si>
  <si>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</si>
  <si>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</si>
  <si>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</si>
  <si>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</si>
  <si>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</si>
  <si>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</si>
  <si>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</si>
  <si>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</si>
  <si>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</si>
  <si>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</si>
  <si>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</si>
  <si>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</si>
  <si>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</si>
  <si>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</si>
  <si>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</si>
  <si>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</si>
  <si>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</si>
  <si>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</si>
  <si>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</si>
  <si>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</si>
  <si>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</si>
  <si>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</si>
  <si>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</si>
  <si>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</si>
  <si>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</si>
  <si>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</si>
  <si>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</si>
  <si>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</si>
  <si>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</si>
  <si>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</si>
  <si>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</si>
  <si>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</si>
  <si>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</si>
  <si>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</si>
  <si>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</si>
  <si>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</si>
  <si>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</si>
  <si>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</si>
  <si>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</si>
  <si>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</si>
  <si>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</si>
  <si>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</si>
  <si>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</si>
  <si>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</si>
  <si>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</si>
  <si>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</si>
  <si>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</si>
  <si>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</si>
  <si>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</si>
  <si>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</si>
  <si>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</si>
  <si>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</si>
  <si>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</si>
  <si>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</si>
  <si>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</si>
  <si>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</si>
  <si>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</si>
  <si>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</si>
  <si>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</si>
  <si>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</si>
  <si>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</si>
  <si>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</si>
  <si>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</si>
  <si>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</si>
  <si>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</si>
  <si>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</si>
  <si>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</si>
  <si>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</si>
  <si>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</si>
  <si>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</si>
  <si>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</si>
  <si>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</si>
  <si>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</si>
  <si>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</si>
  <si>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</si>
  <si>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</si>
  <si>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</si>
  <si>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</si>
  <si>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</si>
  <si>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</si>
  <si>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</si>
  <si>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</si>
  <si>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</si>
  <si>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</si>
  <si>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</si>
  <si>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</si>
  <si>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</si>
  <si>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</si>
  <si>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</si>
  <si>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</si>
  <si>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</si>
  <si>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</si>
  <si>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</si>
  <si>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</si>
  <si>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</si>
  <si>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</si>
  <si>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</si>
  <si>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</si>
  <si>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</si>
  <si>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</si>
  <si>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</si>
  <si>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</si>
  <si>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</si>
  <si>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</si>
  <si>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</si>
  <si>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</si>
  <si>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</si>
  <si>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</si>
  <si>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</si>
  <si>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</si>
  <si>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</si>
  <si>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</si>
  <si>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</si>
  <si>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</si>
  <si>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</si>
  <si>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</si>
  <si>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</si>
  <si>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</si>
  <si>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</si>
  <si>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</si>
  <si>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</si>
  <si>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</si>
  <si>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</si>
  <si>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</si>
  <si>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</si>
  <si>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</si>
  <si>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</si>
  <si>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</si>
  <si>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</si>
  <si>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</si>
  <si>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</si>
  <si>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</si>
  <si>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</si>
  <si>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</si>
  <si>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</si>
  <si>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</si>
  <si>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</si>
  <si>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</si>
  <si>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</si>
  <si>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</si>
  <si>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</si>
  <si>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</si>
  <si>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</si>
  <si>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</si>
  <si>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</si>
  <si>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</si>
  <si>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</si>
  <si>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</si>
  <si>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</si>
  <si>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</si>
  <si>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</si>
  <si>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</si>
  <si>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</si>
  <si>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</si>
  <si>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</si>
  <si>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</si>
  <si>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</si>
  <si>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</si>
  <si>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</si>
  <si>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</si>
  <si>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</si>
  <si>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</si>
  <si>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</si>
  <si>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</si>
  <si>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</si>
  <si>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</si>
  <si>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</si>
  <si>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</si>
  <si>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</si>
  <si>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</si>
  <si>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</si>
  <si>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</si>
  <si>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</si>
  <si>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</si>
  <si>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</si>
  <si>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</si>
  <si>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</si>
  <si>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</si>
  <si>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</si>
  <si>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</si>
  <si>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</si>
  <si>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</si>
  <si>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</si>
  <si>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</si>
  <si>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</si>
  <si>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</si>
  <si>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</si>
  <si>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</si>
  <si>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</si>
  <si>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</si>
  <si>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</si>
  <si>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</si>
  <si>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</si>
  <si>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</si>
  <si>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</si>
  <si>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</si>
  <si>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</si>
  <si>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</si>
  <si>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</si>
  <si>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</si>
  <si>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</si>
  <si>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</si>
  <si>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</si>
  <si>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</si>
  <si>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</si>
  <si>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</si>
  <si>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</si>
  <si>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</si>
  <si>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</si>
  <si>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</si>
  <si>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</si>
  <si>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</si>
  <si>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</si>
  <si>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</si>
  <si>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</si>
  <si>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</si>
  <si>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</si>
  <si>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</si>
  <si>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</si>
  <si>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</si>
  <si>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</si>
  <si>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</si>
  <si>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</si>
  <si>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</si>
  <si>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</si>
  <si>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</si>
  <si>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</si>
  <si>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</si>
  <si>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</si>
  <si>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</si>
  <si>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</si>
  <si>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</si>
  <si>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</si>
  <si>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</si>
  <si>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</si>
  <si>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</si>
  <si>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</si>
  <si>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</si>
  <si>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</si>
  <si>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</si>
  <si>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</si>
  <si>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</si>
  <si>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</si>
  <si>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</si>
  <si>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</si>
  <si>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</si>
  <si>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</si>
  <si>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</si>
  <si>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</si>
  <si>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</si>
  <si>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</si>
  <si>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</si>
  <si>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</si>
  <si>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</si>
  <si>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</si>
  <si>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</si>
  <si>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</si>
  <si>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</si>
  <si>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</si>
  <si>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</si>
  <si>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</si>
  <si>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</si>
  <si>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</si>
  <si>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</si>
  <si>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</si>
  <si>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</si>
  <si>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</si>
  <si>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</si>
  <si>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</si>
  <si>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</si>
  <si>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</si>
  <si>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</si>
  <si>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</si>
  <si>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</si>
  <si>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</si>
  <si>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</si>
  <si>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</si>
  <si>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</si>
  <si>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</si>
  <si>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</si>
  <si>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</si>
  <si>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</si>
  <si>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</si>
  <si>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</si>
  <si>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</si>
  <si>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</si>
  <si>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</si>
  <si>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</si>
  <si>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</si>
  <si>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</si>
  <si>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</si>
  <si>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</si>
  <si>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</si>
  <si>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</si>
  <si>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</si>
  <si>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</si>
  <si>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</si>
  <si>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</si>
  <si>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</si>
  <si>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</si>
  <si>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</si>
  <si>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</si>
  <si>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</si>
  <si>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</si>
  <si>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</si>
  <si>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</si>
  <si>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</si>
  <si>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</si>
  <si>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</si>
  <si>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</si>
  <si>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</si>
  <si>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</si>
  <si>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</si>
  <si>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</si>
  <si>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</si>
  <si>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</si>
  <si>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</si>
  <si>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</si>
  <si>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</si>
  <si>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</si>
  <si>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</si>
  <si>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</si>
  <si>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</si>
  <si>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</si>
  <si>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</si>
  <si>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</si>
  <si>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</si>
  <si>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</si>
  <si>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</si>
  <si>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</si>
  <si>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</si>
  <si>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</si>
  <si>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</si>
  <si>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</si>
  <si>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</si>
  <si>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</si>
  <si>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</si>
  <si>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</si>
  <si>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</si>
  <si>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</si>
  <si>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</si>
  <si>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</si>
  <si>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</si>
  <si>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</si>
  <si>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</si>
  <si>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</si>
  <si>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</si>
  <si>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</si>
  <si>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</si>
  <si>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</si>
  <si>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</si>
  <si>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</si>
  <si>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</si>
  <si>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</si>
  <si>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</si>
  <si>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</si>
  <si>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</si>
  <si>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</si>
  <si>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</si>
  <si>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</si>
  <si>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</si>
  <si>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</si>
  <si>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</si>
  <si>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</si>
  <si>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</si>
  <si>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</si>
  <si>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</si>
  <si>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</si>
  <si>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</si>
  <si>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</si>
  <si>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</si>
  <si>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</si>
  <si>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</si>
  <si>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</si>
  <si>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</si>
  <si>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</si>
  <si>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</si>
  <si>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</si>
  <si>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</si>
  <si>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</si>
  <si>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</si>
  <si>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</si>
  <si>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</si>
  <si>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</si>
  <si>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</si>
  <si>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</si>
  <si>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</si>
  <si>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</si>
  <si>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</si>
  <si>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</si>
  <si>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</si>
  <si>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</si>
  <si>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</si>
  <si>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</si>
  <si>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</si>
  <si>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</si>
  <si>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</si>
  <si>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</si>
  <si>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</si>
  <si>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</si>
  <si>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</si>
  <si>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</si>
  <si>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</si>
  <si>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</si>
  <si>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</si>
  <si>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</si>
  <si>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</si>
  <si>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</si>
  <si>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</si>
  <si>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</si>
  <si>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</si>
  <si>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</si>
  <si>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</si>
  <si>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</si>
  <si>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</si>
  <si>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</si>
  <si>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</si>
  <si>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</si>
  <si>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</si>
  <si>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</si>
  <si>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</si>
  <si>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</si>
  <si>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</si>
  <si>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</si>
  <si>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</si>
  <si>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</si>
  <si>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</si>
  <si>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</si>
  <si>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</si>
  <si>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</si>
  <si>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</si>
  <si>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</si>
  <si>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</si>
  <si>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</si>
  <si>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</si>
  <si>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</si>
  <si>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</si>
  <si>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</si>
  <si>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</si>
  <si>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</si>
  <si>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</si>
  <si>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</si>
  <si>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</si>
  <si>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</si>
  <si>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</si>
  <si>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</si>
  <si>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</si>
  <si>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</si>
  <si>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</si>
  <si>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</si>
  <si>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</si>
  <si>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</si>
  <si>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</si>
  <si>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</si>
  <si>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</si>
  <si>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</si>
  <si>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</si>
  <si>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</si>
  <si>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</si>
  <si>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</si>
  <si>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</si>
  <si>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</si>
  <si>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</si>
  <si>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</si>
  <si>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</si>
  <si>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</si>
  <si>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</si>
  <si>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</si>
  <si>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</si>
  <si>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</si>
  <si>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</si>
  <si>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</si>
  <si>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</si>
  <si>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</si>
  <si>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</si>
  <si>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</si>
  <si>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</si>
  <si>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</si>
  <si>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</si>
  <si>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</si>
  <si>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Angel Golden Monocle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</si>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</sst>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6" tint="-0.25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1"/>
  <sheetViews>
    <sheetView tabSelected="1" topLeftCell="A95" workbookViewId="0">
      <selection activeCell="C122" sqref="C122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9" t="s">
        <v>90</v>
      </c>
      <c r="R5" s="29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s="29" t="s">
        <v>97</v>
      </c>
      <c r="R6" s="29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101</v>
      </c>
      <c r="I7">
        <v>200</v>
      </c>
      <c r="J7" t="b">
        <v>0</v>
      </c>
      <c r="K7" t="s">
        <v>96</v>
      </c>
      <c r="L7">
        <v>200</v>
      </c>
      <c r="M7">
        <v>400</v>
      </c>
      <c r="Q7" s="29" t="s">
        <v>102</v>
      </c>
      <c r="R7" s="29" t="s">
        <v>103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104</v>
      </c>
      <c r="D8" t="s">
        <v>105</v>
      </c>
      <c r="E8" t="s">
        <v>87</v>
      </c>
      <c r="H8" t="s">
        <v>106</v>
      </c>
      <c r="I8">
        <v>200</v>
      </c>
      <c r="J8" t="b">
        <v>0</v>
      </c>
      <c r="K8" t="s">
        <v>96</v>
      </c>
      <c r="L8">
        <v>200</v>
      </c>
      <c r="M8">
        <v>400</v>
      </c>
      <c r="Q8" s="29" t="s">
        <v>107</v>
      </c>
      <c r="R8" s="29" t="s">
        <v>108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109</v>
      </c>
      <c r="D9" t="s">
        <v>110</v>
      </c>
      <c r="E9" t="s">
        <v>87</v>
      </c>
      <c r="H9" t="s">
        <v>106</v>
      </c>
      <c r="I9">
        <v>100</v>
      </c>
      <c r="J9" t="b">
        <v>0</v>
      </c>
      <c r="K9" t="s">
        <v>96</v>
      </c>
      <c r="L9">
        <v>100</v>
      </c>
      <c r="M9">
        <v>200</v>
      </c>
      <c r="Q9" s="29" t="s">
        <v>90</v>
      </c>
      <c r="R9" s="29" t="s">
        <v>111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112</v>
      </c>
      <c r="D10" t="s">
        <v>113</v>
      </c>
      <c r="E10" t="s">
        <v>87</v>
      </c>
      <c r="H10" t="s">
        <v>106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s="29" t="s">
        <v>90</v>
      </c>
      <c r="R10" s="29" t="s">
        <v>114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115</v>
      </c>
      <c r="D11" t="s">
        <v>116</v>
      </c>
      <c r="E11" t="s">
        <v>87</v>
      </c>
      <c r="H11" t="s">
        <v>106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s="29" t="s">
        <v>97</v>
      </c>
      <c r="R11" s="29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115</v>
      </c>
      <c r="D12" t="s">
        <v>118</v>
      </c>
      <c r="E12" t="s">
        <v>87</v>
      </c>
      <c r="H12" t="s">
        <v>106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s="29" t="s">
        <v>97</v>
      </c>
      <c r="R12" s="29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101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s="29" t="s">
        <v>102</v>
      </c>
      <c r="R13" s="29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101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s="29" t="s">
        <v>102</v>
      </c>
      <c r="R14" s="29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106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s="29" t="s">
        <v>107</v>
      </c>
      <c r="R15" s="29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106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s="29" t="s">
        <v>107</v>
      </c>
      <c r="R16" s="29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95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95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101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95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106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165</v>
      </c>
      <c r="R25" t="s">
        <v>166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167</v>
      </c>
      <c r="D26" t="s">
        <v>168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169</v>
      </c>
      <c r="R26" t="s">
        <v>170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171</v>
      </c>
      <c r="D27" t="s">
        <v>172</v>
      </c>
      <c r="E27" t="s">
        <v>134</v>
      </c>
      <c r="H27" t="s">
        <v>106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173</v>
      </c>
      <c r="R27" t="s">
        <v>174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175</v>
      </c>
      <c r="D28" t="s">
        <v>176</v>
      </c>
      <c r="E28" t="s">
        <v>134</v>
      </c>
      <c r="F28" t="s">
        <v>156</v>
      </c>
      <c r="G28" t="s">
        <v>156</v>
      </c>
      <c r="H28" t="s">
        <v>95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177</v>
      </c>
      <c r="R28" t="s">
        <v>178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179</v>
      </c>
      <c r="D29" t="s">
        <v>180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181</v>
      </c>
      <c r="R29" t="s">
        <v>182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="9" customFormat="1" spans="1:32">
      <c r="B30" s="9">
        <v>3001</v>
      </c>
      <c r="C30" s="9" t="s">
        <v>183</v>
      </c>
      <c r="D30" s="9" t="s">
        <v>184</v>
      </c>
      <c r="E30" s="9" t="s">
        <v>185</v>
      </c>
      <c r="H30" s="9" t="s">
        <v>135</v>
      </c>
      <c r="I30" s="9">
        <v>0</v>
      </c>
      <c r="J30" s="9" t="b">
        <v>1</v>
      </c>
      <c r="K30" s="9" t="s">
        <v>186</v>
      </c>
      <c r="L30" s="9"/>
      <c r="M30" s="9"/>
      <c r="Q30" s="9" t="s">
        <v>187</v>
      </c>
      <c r="R30" s="9" t="s">
        <v>188</v>
      </c>
      <c r="U30" s="9">
        <v>103001</v>
      </c>
      <c r="V30" s="9" t="s">
        <v>92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9" customFormat="1" spans="1:32">
      <c r="B31" s="9">
        <v>3002</v>
      </c>
      <c r="C31" s="9" t="s">
        <v>189</v>
      </c>
      <c r="D31" s="9" t="s">
        <v>190</v>
      </c>
      <c r="E31" s="9" t="s">
        <v>185</v>
      </c>
      <c r="H31" s="9" t="s">
        <v>95</v>
      </c>
      <c r="I31" s="9">
        <v>0</v>
      </c>
      <c r="J31" s="9" t="b">
        <v>1</v>
      </c>
      <c r="K31" s="9" t="s">
        <v>186</v>
      </c>
      <c r="L31" s="9"/>
      <c r="M31" s="9"/>
      <c r="Q31" s="9" t="s">
        <v>191</v>
      </c>
      <c r="R31" s="9" t="s">
        <v>192</v>
      </c>
      <c r="U31" s="9">
        <v>103002</v>
      </c>
      <c r="V31" s="9" t="s">
        <v>92</v>
      </c>
      <c r="X31" s="9" t="b">
        <v>1</v>
      </c>
      <c r="Y31" s="9" t="b">
        <v>0</v>
      </c>
      <c r="Z31" s="9" t="b">
        <v>0</v>
      </c>
      <c r="AA31" s="9" t="b">
        <v>0</v>
      </c>
      <c r="AB31" s="9" t="b">
        <v>1</v>
      </c>
    </row>
    <row r="32" s="9" customFormat="1" spans="1:32">
      <c r="B32" s="9">
        <v>3003</v>
      </c>
      <c r="C32" s="9" t="s">
        <v>193</v>
      </c>
      <c r="D32" s="9" t="s">
        <v>194</v>
      </c>
      <c r="E32" s="9" t="s">
        <v>185</v>
      </c>
      <c r="H32" s="9" t="s">
        <v>106</v>
      </c>
      <c r="I32" s="9">
        <v>0</v>
      </c>
      <c r="J32" s="9" t="b">
        <v>1</v>
      </c>
      <c r="K32" s="9" t="s">
        <v>186</v>
      </c>
      <c r="L32" s="9"/>
      <c r="M32" s="9"/>
      <c r="Q32" s="9" t="s">
        <v>195</v>
      </c>
      <c r="R32" s="9" t="s">
        <v>196</v>
      </c>
      <c r="U32" s="9">
        <v>103003</v>
      </c>
      <c r="V32" s="9" t="s">
        <v>92</v>
      </c>
      <c r="X32" s="9" t="b">
        <v>1</v>
      </c>
      <c r="Y32" s="9" t="b">
        <v>0</v>
      </c>
      <c r="Z32" s="9" t="b">
        <v>0</v>
      </c>
      <c r="AA32" s="9" t="b">
        <v>0</v>
      </c>
      <c r="AB32" s="9" t="b">
        <v>1</v>
      </c>
    </row>
    <row r="33" s="9" customFormat="1" spans="2:28">
      <c r="B33" s="9">
        <v>3004</v>
      </c>
      <c r="C33" s="9" t="s">
        <v>197</v>
      </c>
      <c r="D33" s="9" t="s">
        <v>198</v>
      </c>
      <c r="E33" s="9" t="s">
        <v>185</v>
      </c>
      <c r="H33" s="9" t="s">
        <v>101</v>
      </c>
      <c r="I33" s="9">
        <v>0</v>
      </c>
      <c r="J33" s="9" t="b">
        <v>1</v>
      </c>
      <c r="K33" s="9" t="s">
        <v>186</v>
      </c>
      <c r="L33" s="9"/>
      <c r="M33" s="9"/>
      <c r="Q33" s="9" t="s">
        <v>199</v>
      </c>
      <c r="R33" s="9" t="s">
        <v>200</v>
      </c>
      <c r="U33" s="9">
        <v>103004</v>
      </c>
      <c r="V33" s="9" t="s">
        <v>92</v>
      </c>
      <c r="X33" s="9" t="b">
        <v>1</v>
      </c>
      <c r="Y33" s="9" t="b">
        <v>0</v>
      </c>
      <c r="Z33" s="9" t="b">
        <v>0</v>
      </c>
      <c r="AA33" s="9" t="b">
        <v>0</v>
      </c>
      <c r="AB33" s="9" t="b">
        <v>1</v>
      </c>
    </row>
    <row r="34" s="9" customFormat="1" spans="2:28">
      <c r="B34" s="9">
        <v>3005</v>
      </c>
      <c r="C34" s="9" t="s">
        <v>201</v>
      </c>
      <c r="D34" s="9" t="s">
        <v>202</v>
      </c>
      <c r="E34" s="9" t="s">
        <v>185</v>
      </c>
      <c r="H34" s="9" t="s">
        <v>106</v>
      </c>
      <c r="I34" s="9">
        <v>0</v>
      </c>
      <c r="J34" s="9" t="b">
        <v>1</v>
      </c>
      <c r="K34" s="9" t="s">
        <v>186</v>
      </c>
      <c r="L34" s="9"/>
      <c r="M34" s="9"/>
      <c r="Q34" s="9" t="s">
        <v>203</v>
      </c>
      <c r="R34" s="9" t="s">
        <v>204</v>
      </c>
      <c r="U34" s="9">
        <v>103005</v>
      </c>
      <c r="V34" s="9" t="s">
        <v>92</v>
      </c>
      <c r="X34" s="9" t="b">
        <v>1</v>
      </c>
      <c r="Y34" s="9" t="b">
        <v>0</v>
      </c>
      <c r="Z34" s="9" t="b">
        <v>0</v>
      </c>
      <c r="AA34" s="9" t="b">
        <v>0</v>
      </c>
      <c r="AB34" s="9" t="b">
        <v>1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106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95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106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106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95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106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106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95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95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106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291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292</v>
      </c>
      <c r="R55" t="s">
        <v>293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294</v>
      </c>
      <c r="D56" t="s">
        <v>295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296</v>
      </c>
      <c r="R56" t="s">
        <v>297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298</v>
      </c>
      <c r="D57" t="s">
        <v>299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300</v>
      </c>
      <c r="R57" t="s">
        <v>301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302</v>
      </c>
      <c r="D58" t="s">
        <v>303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304</v>
      </c>
      <c r="R58" t="s">
        <v>305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306</v>
      </c>
      <c r="D59" t="s">
        <v>307</v>
      </c>
      <c r="E59" t="s">
        <v>266</v>
      </c>
      <c r="F59" t="s">
        <v>156</v>
      </c>
      <c r="G59" t="s">
        <v>156</v>
      </c>
      <c r="H59" t="s">
        <v>101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308</v>
      </c>
      <c r="R59" t="s">
        <v>309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310</v>
      </c>
      <c r="D60" t="s">
        <v>311</v>
      </c>
      <c r="E60" t="s">
        <v>312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313</v>
      </c>
      <c r="R60" t="s">
        <v>314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315</v>
      </c>
      <c r="D61" t="s">
        <v>316</v>
      </c>
      <c r="E61" t="s">
        <v>312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317</v>
      </c>
      <c r="R61" t="s">
        <v>318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319</v>
      </c>
      <c r="D62" t="s">
        <v>320</v>
      </c>
      <c r="E62" t="s">
        <v>312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321</v>
      </c>
      <c r="R62" t="s">
        <v>322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323</v>
      </c>
      <c r="D63" s="26" t="s">
        <v>324</v>
      </c>
      <c r="E63" s="26" t="s">
        <v>312</v>
      </c>
      <c r="H63" s="30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325</v>
      </c>
      <c r="R63" s="26" t="s">
        <v>326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327</v>
      </c>
      <c r="D64" t="s">
        <v>328</v>
      </c>
      <c r="E64" t="s">
        <v>312</v>
      </c>
      <c r="H64" s="19" t="s">
        <v>95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329</v>
      </c>
      <c r="R64" t="s">
        <v>330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331</v>
      </c>
      <c r="D65" t="s">
        <v>332</v>
      </c>
      <c r="E65" t="s">
        <v>312</v>
      </c>
      <c r="H65" s="19" t="s">
        <v>95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333</v>
      </c>
      <c r="R65" t="s">
        <v>334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335</v>
      </c>
      <c r="D66" t="s">
        <v>336</v>
      </c>
      <c r="E66" t="s">
        <v>312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337</v>
      </c>
      <c r="R66" t="s">
        <v>338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339</v>
      </c>
      <c r="D67" t="s">
        <v>340</v>
      </c>
      <c r="E67" t="s">
        <v>312</v>
      </c>
      <c r="F67" t="s">
        <v>156</v>
      </c>
      <c r="G67" t="s">
        <v>156</v>
      </c>
      <c r="H67" t="s">
        <v>106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341</v>
      </c>
      <c r="R67" t="s">
        <v>342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343</v>
      </c>
      <c r="D68" t="s">
        <v>344</v>
      </c>
      <c r="E68" t="s">
        <v>312</v>
      </c>
      <c r="F68" t="s">
        <v>156</v>
      </c>
      <c r="G68" t="s">
        <v>156</v>
      </c>
      <c r="H68" t="s">
        <v>95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345</v>
      </c>
      <c r="R68" t="s">
        <v>346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347</v>
      </c>
      <c r="D69" t="s">
        <v>348</v>
      </c>
      <c r="E69" t="s">
        <v>312</v>
      </c>
      <c r="F69" t="s">
        <v>156</v>
      </c>
      <c r="G69" t="s">
        <v>156</v>
      </c>
      <c r="H69" t="s">
        <v>291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349</v>
      </c>
      <c r="R69" t="s">
        <v>350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351</v>
      </c>
      <c r="D70" t="s">
        <v>352</v>
      </c>
      <c r="E70" t="s">
        <v>312</v>
      </c>
      <c r="F70" t="s">
        <v>156</v>
      </c>
      <c r="G70" t="s">
        <v>156</v>
      </c>
      <c r="H70" t="s">
        <v>95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353</v>
      </c>
      <c r="R70" t="s">
        <v>354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355</v>
      </c>
      <c r="D71" t="s">
        <v>356</v>
      </c>
      <c r="E71" t="s">
        <v>312</v>
      </c>
      <c r="F71" t="s">
        <v>156</v>
      </c>
      <c r="G71" t="s">
        <v>156</v>
      </c>
      <c r="H71" t="s">
        <v>101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357</v>
      </c>
      <c r="R71" t="s">
        <v>358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359</v>
      </c>
      <c r="D72" t="s">
        <v>360</v>
      </c>
      <c r="E72" t="s">
        <v>312</v>
      </c>
      <c r="F72" t="s">
        <v>156</v>
      </c>
      <c r="G72" t="s">
        <v>156</v>
      </c>
      <c r="H72" t="s">
        <v>95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361</v>
      </c>
      <c r="R72" t="s">
        <v>362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363</v>
      </c>
      <c r="D73" t="s">
        <v>364</v>
      </c>
      <c r="E73" t="s">
        <v>312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365</v>
      </c>
      <c r="R73" t="s">
        <v>366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367</v>
      </c>
      <c r="D74" t="s">
        <v>368</v>
      </c>
      <c r="E74" t="s">
        <v>312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369</v>
      </c>
      <c r="R74" t="s">
        <v>370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371</v>
      </c>
      <c r="D75" t="s">
        <v>372</v>
      </c>
      <c r="E75" t="s">
        <v>312</v>
      </c>
      <c r="F75" t="s">
        <v>156</v>
      </c>
      <c r="G75" t="s">
        <v>156</v>
      </c>
      <c r="H75" t="s">
        <v>95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373</v>
      </c>
      <c r="R75" t="s">
        <v>374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375</v>
      </c>
      <c r="D76" t="s">
        <v>376</v>
      </c>
      <c r="E76" t="s">
        <v>312</v>
      </c>
      <c r="F76" t="s">
        <v>156</v>
      </c>
      <c r="G76" t="s">
        <v>156</v>
      </c>
      <c r="H76" t="s">
        <v>106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377</v>
      </c>
      <c r="R76" t="s">
        <v>378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379</v>
      </c>
      <c r="D77" t="s">
        <v>380</v>
      </c>
      <c r="E77" t="s">
        <v>312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381</v>
      </c>
      <c r="R77" t="s">
        <v>382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383</v>
      </c>
      <c r="D78" t="s">
        <v>384</v>
      </c>
      <c r="E78" t="s">
        <v>312</v>
      </c>
      <c r="F78" t="s">
        <v>156</v>
      </c>
      <c r="G78" t="s">
        <v>156</v>
      </c>
      <c r="H78" t="s">
        <v>106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385</v>
      </c>
      <c r="R78" t="s">
        <v>386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387</v>
      </c>
      <c r="D79" t="s">
        <v>388</v>
      </c>
      <c r="E79" t="s">
        <v>389</v>
      </c>
      <c r="F79" t="s">
        <v>156</v>
      </c>
      <c r="G79" t="s">
        <v>156</v>
      </c>
      <c r="H79" t="s">
        <v>95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390</v>
      </c>
      <c r="R79" t="s">
        <v>391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392</v>
      </c>
      <c r="D80" t="s">
        <v>393</v>
      </c>
      <c r="E80" t="s">
        <v>389</v>
      </c>
      <c r="F80" t="s">
        <v>156</v>
      </c>
      <c r="G80" t="s">
        <v>156</v>
      </c>
      <c r="H80" t="s">
        <v>95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394</v>
      </c>
      <c r="R80" t="s">
        <v>395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396</v>
      </c>
      <c r="D81" t="s">
        <v>397</v>
      </c>
      <c r="E81" t="s">
        <v>389</v>
      </c>
      <c r="F81" t="s">
        <v>156</v>
      </c>
      <c r="G81" t="s">
        <v>156</v>
      </c>
      <c r="H81" t="s">
        <v>106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398</v>
      </c>
      <c r="R81" t="s">
        <v>399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400</v>
      </c>
      <c r="D82" t="s">
        <v>401</v>
      </c>
      <c r="E82" t="s">
        <v>389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402</v>
      </c>
      <c r="R82" t="s">
        <v>403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404</v>
      </c>
      <c r="D83" t="s">
        <v>405</v>
      </c>
      <c r="E83" t="s">
        <v>389</v>
      </c>
      <c r="F83" t="s">
        <v>156</v>
      </c>
      <c r="G83" t="s">
        <v>156</v>
      </c>
      <c r="H83" t="s">
        <v>101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406</v>
      </c>
      <c r="R83" t="s">
        <v>407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408</v>
      </c>
      <c r="D84" t="s">
        <v>409</v>
      </c>
      <c r="E84" t="s">
        <v>389</v>
      </c>
      <c r="F84" t="s">
        <v>156</v>
      </c>
      <c r="G84" t="s">
        <v>156</v>
      </c>
      <c r="H84" t="s">
        <v>101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410</v>
      </c>
      <c r="R84" t="s">
        <v>411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412</v>
      </c>
      <c r="D85" t="s">
        <v>413</v>
      </c>
      <c r="E85" t="s">
        <v>389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414</v>
      </c>
      <c r="R85" t="s">
        <v>415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416</v>
      </c>
      <c r="D86" t="s">
        <v>417</v>
      </c>
      <c r="E86" t="s">
        <v>389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418</v>
      </c>
      <c r="R86" t="s">
        <v>419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420</v>
      </c>
      <c r="D87" t="s">
        <v>421</v>
      </c>
      <c r="E87" t="s">
        <v>389</v>
      </c>
      <c r="H87" t="s">
        <v>291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422</v>
      </c>
      <c r="R87" t="s">
        <v>423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424</v>
      </c>
      <c r="D88" t="s">
        <v>425</v>
      </c>
      <c r="E88" t="s">
        <v>389</v>
      </c>
      <c r="F88" t="s">
        <v>156</v>
      </c>
      <c r="G88" t="s">
        <v>156</v>
      </c>
      <c r="H88" t="s">
        <v>95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426</v>
      </c>
      <c r="R88" t="s">
        <v>427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428</v>
      </c>
      <c r="D89" t="s">
        <v>429</v>
      </c>
      <c r="E89" t="s">
        <v>389</v>
      </c>
      <c r="F89" t="s">
        <v>156</v>
      </c>
      <c r="G89" t="s">
        <v>156</v>
      </c>
      <c r="H89" t="s">
        <v>101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430</v>
      </c>
      <c r="R89" t="s">
        <v>431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432</v>
      </c>
      <c r="D90" t="s">
        <v>433</v>
      </c>
      <c r="E90" t="s">
        <v>434</v>
      </c>
      <c r="H90" t="s">
        <v>106</v>
      </c>
      <c r="I90">
        <v>200</v>
      </c>
      <c r="J90" t="b">
        <v>0</v>
      </c>
      <c r="K90" t="s">
        <v>435</v>
      </c>
      <c r="L90">
        <v>0</v>
      </c>
      <c r="M90">
        <v>0</v>
      </c>
      <c r="N90">
        <v>300</v>
      </c>
      <c r="Q90" t="s">
        <v>436</v>
      </c>
      <c r="R90" t="s">
        <v>437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438</v>
      </c>
      <c r="D91" t="s">
        <v>439</v>
      </c>
      <c r="E91" t="s">
        <v>434</v>
      </c>
      <c r="F91" t="s">
        <v>440</v>
      </c>
      <c r="G91">
        <v>9009</v>
      </c>
      <c r="H91" t="s">
        <v>95</v>
      </c>
      <c r="I91">
        <v>200</v>
      </c>
      <c r="J91" t="b">
        <v>0</v>
      </c>
      <c r="K91" t="s">
        <v>435</v>
      </c>
      <c r="L91">
        <v>0</v>
      </c>
      <c r="M91">
        <v>0</v>
      </c>
      <c r="N91">
        <v>300</v>
      </c>
      <c r="Q91" t="s">
        <v>441</v>
      </c>
      <c r="R91" t="s">
        <v>442</v>
      </c>
      <c r="T91" s="27" t="s">
        <v>443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444</v>
      </c>
      <c r="D92" t="s">
        <v>445</v>
      </c>
      <c r="E92" t="s">
        <v>434</v>
      </c>
      <c r="F92" t="s">
        <v>440</v>
      </c>
      <c r="G92">
        <v>9009</v>
      </c>
      <c r="H92" t="s">
        <v>95</v>
      </c>
      <c r="I92">
        <v>200</v>
      </c>
      <c r="J92" t="b">
        <v>0</v>
      </c>
      <c r="K92" t="s">
        <v>435</v>
      </c>
      <c r="L92">
        <v>0</v>
      </c>
      <c r="M92">
        <v>0</v>
      </c>
      <c r="N92">
        <v>300</v>
      </c>
      <c r="Q92" t="s">
        <v>446</v>
      </c>
      <c r="R92" t="s">
        <v>447</v>
      </c>
      <c r="T92" s="27" t="s">
        <v>443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448</v>
      </c>
      <c r="D93" t="s">
        <v>449</v>
      </c>
      <c r="E93" t="s">
        <v>434</v>
      </c>
      <c r="F93" t="s">
        <v>440</v>
      </c>
      <c r="G93">
        <v>9009</v>
      </c>
      <c r="H93" t="s">
        <v>106</v>
      </c>
      <c r="I93">
        <v>200</v>
      </c>
      <c r="J93" t="b">
        <v>0</v>
      </c>
      <c r="K93" t="s">
        <v>435</v>
      </c>
      <c r="L93">
        <v>0</v>
      </c>
      <c r="M93">
        <v>0</v>
      </c>
      <c r="N93">
        <v>300</v>
      </c>
      <c r="Q93" t="s">
        <v>450</v>
      </c>
      <c r="R93" t="s">
        <v>451</v>
      </c>
      <c r="T93" s="27" t="s">
        <v>443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452</v>
      </c>
      <c r="D94" t="s">
        <v>453</v>
      </c>
      <c r="E94" t="s">
        <v>434</v>
      </c>
      <c r="F94" t="s">
        <v>440</v>
      </c>
      <c r="G94">
        <v>9009</v>
      </c>
      <c r="H94" t="s">
        <v>95</v>
      </c>
      <c r="I94">
        <v>200</v>
      </c>
      <c r="J94" t="b">
        <v>0</v>
      </c>
      <c r="K94" t="s">
        <v>435</v>
      </c>
      <c r="L94">
        <v>0</v>
      </c>
      <c r="M94">
        <v>0</v>
      </c>
      <c r="N94">
        <v>300</v>
      </c>
      <c r="Q94" t="s">
        <v>454</v>
      </c>
      <c r="R94" t="s">
        <v>455</v>
      </c>
      <c r="T94" s="27" t="s">
        <v>443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456</v>
      </c>
      <c r="D95" t="s">
        <v>457</v>
      </c>
      <c r="E95" t="s">
        <v>434</v>
      </c>
      <c r="F95" t="s">
        <v>440</v>
      </c>
      <c r="G95">
        <v>9009</v>
      </c>
      <c r="H95" t="s">
        <v>95</v>
      </c>
      <c r="I95">
        <v>200</v>
      </c>
      <c r="J95" t="b">
        <v>0</v>
      </c>
      <c r="K95" t="s">
        <v>435</v>
      </c>
      <c r="L95">
        <v>0</v>
      </c>
      <c r="M95">
        <v>0</v>
      </c>
      <c r="N95">
        <v>300</v>
      </c>
      <c r="Q95" t="s">
        <v>458</v>
      </c>
      <c r="R95" t="s">
        <v>459</v>
      </c>
      <c r="T95" s="27" t="s">
        <v>443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460</v>
      </c>
      <c r="D96" t="s">
        <v>461</v>
      </c>
      <c r="E96" t="s">
        <v>434</v>
      </c>
      <c r="F96" t="s">
        <v>440</v>
      </c>
      <c r="G96">
        <v>9009</v>
      </c>
      <c r="H96" t="s">
        <v>95</v>
      </c>
      <c r="I96">
        <v>200</v>
      </c>
      <c r="J96" t="b">
        <v>0</v>
      </c>
      <c r="K96" t="s">
        <v>435</v>
      </c>
      <c r="L96">
        <v>0</v>
      </c>
      <c r="M96">
        <v>0</v>
      </c>
      <c r="N96">
        <v>300</v>
      </c>
      <c r="Q96" t="s">
        <v>462</v>
      </c>
      <c r="R96" t="s">
        <v>463</v>
      </c>
      <c r="T96" s="27" t="s">
        <v>443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464</v>
      </c>
      <c r="D97" t="s">
        <v>465</v>
      </c>
      <c r="E97" t="s">
        <v>434</v>
      </c>
      <c r="F97" t="s">
        <v>440</v>
      </c>
      <c r="G97">
        <v>9009</v>
      </c>
      <c r="H97" t="s">
        <v>106</v>
      </c>
      <c r="I97">
        <v>200</v>
      </c>
      <c r="J97" t="b">
        <v>0</v>
      </c>
      <c r="K97" t="s">
        <v>435</v>
      </c>
      <c r="L97">
        <v>0</v>
      </c>
      <c r="M97">
        <v>0</v>
      </c>
      <c r="N97">
        <v>300</v>
      </c>
      <c r="Q97" t="s">
        <v>466</v>
      </c>
      <c r="R97" t="s">
        <v>467</v>
      </c>
      <c r="T97" s="27" t="s">
        <v>443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468</v>
      </c>
      <c r="D98" t="s">
        <v>469</v>
      </c>
      <c r="E98" t="s">
        <v>434</v>
      </c>
      <c r="H98" t="s">
        <v>135</v>
      </c>
      <c r="I98">
        <v>200</v>
      </c>
      <c r="J98" t="b">
        <v>0</v>
      </c>
      <c r="K98" t="s">
        <v>435</v>
      </c>
      <c r="L98">
        <v>0</v>
      </c>
      <c r="M98">
        <v>0</v>
      </c>
      <c r="N98">
        <v>300</v>
      </c>
      <c r="Q98" t="s">
        <v>470</v>
      </c>
      <c r="R98" t="s">
        <v>471</v>
      </c>
      <c r="T98" s="27" t="s">
        <v>443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472</v>
      </c>
      <c r="D99" t="s">
        <v>473</v>
      </c>
      <c r="E99" t="s">
        <v>434</v>
      </c>
      <c r="F99" t="s">
        <v>440</v>
      </c>
      <c r="G99">
        <v>9009</v>
      </c>
      <c r="H99" t="s">
        <v>106</v>
      </c>
      <c r="I99">
        <v>200</v>
      </c>
      <c r="J99" t="b">
        <v>0</v>
      </c>
      <c r="K99" t="s">
        <v>435</v>
      </c>
      <c r="L99">
        <v>0</v>
      </c>
      <c r="M99">
        <v>0</v>
      </c>
      <c r="N99">
        <v>300</v>
      </c>
      <c r="Q99" t="s">
        <v>474</v>
      </c>
      <c r="R99" t="s">
        <v>475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476</v>
      </c>
      <c r="D100" t="s">
        <v>477</v>
      </c>
      <c r="E100" t="s">
        <v>434</v>
      </c>
      <c r="F100" t="s">
        <v>440</v>
      </c>
      <c r="G100">
        <v>9009</v>
      </c>
      <c r="H100" t="s">
        <v>101</v>
      </c>
      <c r="I100">
        <v>200</v>
      </c>
      <c r="J100" t="b">
        <v>0</v>
      </c>
      <c r="K100" t="s">
        <v>435</v>
      </c>
      <c r="L100">
        <v>0</v>
      </c>
      <c r="M100">
        <v>0</v>
      </c>
      <c r="N100">
        <v>300</v>
      </c>
      <c r="Q100" t="s">
        <v>478</v>
      </c>
      <c r="R100" t="s">
        <v>479</v>
      </c>
      <c r="T100" s="27" t="s">
        <v>443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480</v>
      </c>
      <c r="D101" s="26" t="s">
        <v>481</v>
      </c>
      <c r="E101" s="26" t="s">
        <v>482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483</v>
      </c>
      <c r="R101" s="26" t="s">
        <v>484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485</v>
      </c>
      <c r="D102" s="26" t="s">
        <v>486</v>
      </c>
      <c r="E102" s="26" t="s">
        <v>487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488</v>
      </c>
      <c r="R102" s="26" t="s">
        <v>489</v>
      </c>
      <c r="T102" s="26" t="s">
        <v>490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491</v>
      </c>
      <c r="D103" s="26" t="s">
        <v>492</v>
      </c>
      <c r="E103" s="26" t="s">
        <v>487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488</v>
      </c>
      <c r="R103" s="26" t="s">
        <v>493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494</v>
      </c>
      <c r="D104" t="s">
        <v>495</v>
      </c>
      <c r="E104" t="s">
        <v>496</v>
      </c>
      <c r="F104" t="s">
        <v>156</v>
      </c>
      <c r="G104" t="s">
        <v>156</v>
      </c>
      <c r="H104" s="19" t="s">
        <v>95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497</v>
      </c>
      <c r="R104" t="s">
        <v>498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499</v>
      </c>
      <c r="D105" t="s">
        <v>500</v>
      </c>
      <c r="E105" t="s">
        <v>496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501</v>
      </c>
      <c r="R105" t="s">
        <v>502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51001</v>
      </c>
      <c r="C106" t="s">
        <v>99</v>
      </c>
      <c r="D106" t="s">
        <v>100</v>
      </c>
      <c r="E106" t="s">
        <v>87</v>
      </c>
      <c r="H106" s="19" t="s">
        <v>503</v>
      </c>
      <c r="I106">
        <v>200</v>
      </c>
      <c r="J106" t="b">
        <v>0</v>
      </c>
      <c r="K106" t="s">
        <v>504</v>
      </c>
      <c r="L106"/>
      <c r="M106"/>
      <c r="O106">
        <v>100</v>
      </c>
      <c r="P106" s="27"/>
      <c r="Q106" s="29" t="s">
        <v>102</v>
      </c>
      <c r="R106" s="29" t="s">
        <v>103</v>
      </c>
      <c r="S106">
        <v>1003</v>
      </c>
      <c r="T106" s="27" t="s">
        <v>505</v>
      </c>
      <c r="U106">
        <v>151001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52001</v>
      </c>
      <c r="C107" t="s">
        <v>506</v>
      </c>
      <c r="D107" t="s">
        <v>507</v>
      </c>
      <c r="E107" t="s">
        <v>134</v>
      </c>
      <c r="H107" s="19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152</v>
      </c>
      <c r="R107" t="s">
        <v>153</v>
      </c>
      <c r="T107" s="27" t="s">
        <v>508</v>
      </c>
      <c r="U107">
        <v>152001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="9" customFormat="1" spans="2:28">
      <c r="B108" s="9">
        <v>53001</v>
      </c>
      <c r="C108" s="9" t="s">
        <v>509</v>
      </c>
      <c r="D108" s="9" t="s">
        <v>198</v>
      </c>
      <c r="E108" s="9" t="s">
        <v>185</v>
      </c>
      <c r="H108" s="31" t="s">
        <v>503</v>
      </c>
      <c r="I108" s="9">
        <v>0</v>
      </c>
      <c r="J108" s="9" t="b">
        <v>1</v>
      </c>
      <c r="K108" s="9" t="s">
        <v>186</v>
      </c>
      <c r="L108" s="9"/>
      <c r="M108" s="9"/>
      <c r="Q108" s="9" t="s">
        <v>199</v>
      </c>
      <c r="R108" s="9" t="s">
        <v>200</v>
      </c>
      <c r="U108" s="9">
        <v>153001</v>
      </c>
      <c r="V108" s="9" t="s">
        <v>92</v>
      </c>
      <c r="X108" s="9" t="b">
        <v>1</v>
      </c>
      <c r="Y108" s="9" t="b">
        <v>0</v>
      </c>
      <c r="Z108" s="9" t="b">
        <v>0</v>
      </c>
      <c r="AA108" s="9" t="b">
        <v>0</v>
      </c>
      <c r="AB108" s="9" t="b">
        <v>1</v>
      </c>
    </row>
    <row r="109" customFormat="1" spans="2:28">
      <c r="B109">
        <v>92005</v>
      </c>
      <c r="C109" t="s">
        <v>510</v>
      </c>
      <c r="D109" t="s">
        <v>511</v>
      </c>
      <c r="E109" t="s">
        <v>134</v>
      </c>
      <c r="H109" t="s">
        <v>503</v>
      </c>
      <c r="I109">
        <v>100</v>
      </c>
      <c r="J109" t="b">
        <v>0</v>
      </c>
      <c r="K109" t="s">
        <v>504</v>
      </c>
      <c r="O109">
        <v>100</v>
      </c>
      <c r="P109" s="27"/>
      <c r="Q109" t="s">
        <v>152</v>
      </c>
      <c r="R109" t="s">
        <v>153</v>
      </c>
      <c r="T109" s="27" t="s">
        <v>512</v>
      </c>
      <c r="U109">
        <v>192005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customFormat="1" spans="2:28">
      <c r="B110">
        <v>91012</v>
      </c>
      <c r="C110" t="s">
        <v>513</v>
      </c>
      <c r="D110" t="s">
        <v>514</v>
      </c>
      <c r="E110" t="s">
        <v>87</v>
      </c>
      <c r="H110" t="s">
        <v>503</v>
      </c>
      <c r="I110">
        <v>100</v>
      </c>
      <c r="J110" t="b">
        <v>0</v>
      </c>
      <c r="K110" t="s">
        <v>504</v>
      </c>
      <c r="O110">
        <v>100</v>
      </c>
      <c r="P110" s="27"/>
      <c r="Q110" s="29" t="s">
        <v>107</v>
      </c>
      <c r="R110" s="29" t="s">
        <v>131</v>
      </c>
      <c r="S110">
        <v>1012</v>
      </c>
      <c r="T110" s="27" t="s">
        <v>512</v>
      </c>
      <c r="U110">
        <v>191012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2013</v>
      </c>
      <c r="C111" t="s">
        <v>515</v>
      </c>
      <c r="D111" t="s">
        <v>516</v>
      </c>
      <c r="E111" t="s">
        <v>134</v>
      </c>
      <c r="H111" t="s">
        <v>106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517</v>
      </c>
      <c r="R111" t="s">
        <v>518</v>
      </c>
      <c r="U111">
        <v>102013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2014</v>
      </c>
      <c r="C112" t="s">
        <v>519</v>
      </c>
      <c r="D112" t="s">
        <v>520</v>
      </c>
      <c r="E112" t="s">
        <v>134</v>
      </c>
      <c r="H112" t="s">
        <v>101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521</v>
      </c>
      <c r="R112" t="s">
        <v>522</v>
      </c>
      <c r="U112">
        <v>102014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2015</v>
      </c>
      <c r="C113" t="s">
        <v>523</v>
      </c>
      <c r="D113" t="s">
        <v>524</v>
      </c>
      <c r="E113" t="s">
        <v>134</v>
      </c>
      <c r="H113" t="s">
        <v>106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525</v>
      </c>
      <c r="R113" t="s">
        <v>526</v>
      </c>
      <c r="U113">
        <v>102015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2016</v>
      </c>
      <c r="C114" t="s">
        <v>527</v>
      </c>
      <c r="D114" t="s">
        <v>528</v>
      </c>
      <c r="E114" t="s">
        <v>134</v>
      </c>
      <c r="H114" t="s">
        <v>291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529</v>
      </c>
      <c r="R114" t="s">
        <v>530</v>
      </c>
      <c r="U114">
        <v>102016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2017</v>
      </c>
      <c r="C115" t="s">
        <v>531</v>
      </c>
      <c r="D115" t="s">
        <v>532</v>
      </c>
      <c r="E115" t="s">
        <v>134</v>
      </c>
      <c r="H115" t="s">
        <v>291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533</v>
      </c>
      <c r="R115" t="s">
        <v>534</v>
      </c>
      <c r="U115">
        <v>102017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2018</v>
      </c>
      <c r="C116" t="s">
        <v>535</v>
      </c>
      <c r="D116" t="s">
        <v>536</v>
      </c>
      <c r="E116" t="s">
        <v>134</v>
      </c>
      <c r="H116" t="s">
        <v>291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537</v>
      </c>
      <c r="R116" t="s">
        <v>538</v>
      </c>
      <c r="U116">
        <v>102018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2019</v>
      </c>
      <c r="C117" t="s">
        <v>539</v>
      </c>
      <c r="D117" t="s">
        <v>540</v>
      </c>
      <c r="E117" t="s">
        <v>134</v>
      </c>
      <c r="H117" t="s">
        <v>291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541</v>
      </c>
      <c r="R117" t="s">
        <v>542</v>
      </c>
      <c r="U117">
        <v>102019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2020</v>
      </c>
      <c r="C118" t="s">
        <v>543</v>
      </c>
      <c r="D118" t="s">
        <v>544</v>
      </c>
      <c r="E118" t="s">
        <v>134</v>
      </c>
      <c r="H118" t="s">
        <v>101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545</v>
      </c>
      <c r="R118" t="s">
        <v>546</v>
      </c>
      <c r="U118">
        <v>102020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2021</v>
      </c>
      <c r="C119" t="s">
        <v>547</v>
      </c>
      <c r="D119" t="s">
        <v>548</v>
      </c>
      <c r="E119" t="s">
        <v>134</v>
      </c>
      <c r="H119" t="s">
        <v>101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549</v>
      </c>
      <c r="R119" t="s">
        <v>550</v>
      </c>
      <c r="U119">
        <v>102021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2022</v>
      </c>
      <c r="C120" t="s">
        <v>551</v>
      </c>
      <c r="D120" t="s">
        <v>552</v>
      </c>
      <c r="E120" t="s">
        <v>134</v>
      </c>
      <c r="H120" t="s">
        <v>106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553</v>
      </c>
      <c r="R120" t="s">
        <v>554</v>
      </c>
      <c r="U120">
        <v>102022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2023</v>
      </c>
      <c r="C121" t="s">
        <v>555</v>
      </c>
      <c r="D121" t="s">
        <v>556</v>
      </c>
      <c r="E121" t="s">
        <v>134</v>
      </c>
      <c r="H121" t="s">
        <v>95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557</v>
      </c>
      <c r="R121" t="s">
        <v>558</v>
      </c>
      <c r="U121">
        <v>102023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2024</v>
      </c>
      <c r="C122" t="s">
        <v>559</v>
      </c>
      <c r="D122" t="s">
        <v>560</v>
      </c>
      <c r="E122" t="s">
        <v>134</v>
      </c>
      <c r="H122" t="s">
        <v>106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561</v>
      </c>
      <c r="R122" t="s">
        <v>562</v>
      </c>
      <c r="U122">
        <v>102024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2025</v>
      </c>
      <c r="C123" t="s">
        <v>563</v>
      </c>
      <c r="D123" t="s">
        <v>564</v>
      </c>
      <c r="E123" t="s">
        <v>134</v>
      </c>
      <c r="H123" t="s">
        <v>135</v>
      </c>
      <c r="I123">
        <v>200</v>
      </c>
      <c r="J123" t="b">
        <v>0</v>
      </c>
      <c r="K123" t="s">
        <v>96</v>
      </c>
      <c r="L123">
        <v>100</v>
      </c>
      <c r="M123">
        <v>100</v>
      </c>
      <c r="Q123" t="s">
        <v>565</v>
      </c>
      <c r="R123" t="s">
        <v>566</v>
      </c>
      <c r="U123">
        <v>102025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2026</v>
      </c>
      <c r="C124" t="s">
        <v>567</v>
      </c>
      <c r="D124" t="s">
        <v>568</v>
      </c>
      <c r="E124" t="s">
        <v>134</v>
      </c>
      <c r="H124" t="s">
        <v>95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569</v>
      </c>
      <c r="R124" t="s">
        <v>570</v>
      </c>
      <c r="U124">
        <v>102026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2027</v>
      </c>
      <c r="C125" t="s">
        <v>571</v>
      </c>
      <c r="D125" t="s">
        <v>572</v>
      </c>
      <c r="E125" t="s">
        <v>134</v>
      </c>
      <c r="H125" t="s">
        <v>95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573</v>
      </c>
      <c r="R125" t="s">
        <v>574</v>
      </c>
      <c r="U125">
        <v>102027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2028</v>
      </c>
      <c r="C126" t="s">
        <v>575</v>
      </c>
      <c r="D126" t="s">
        <v>576</v>
      </c>
      <c r="E126" t="s">
        <v>134</v>
      </c>
      <c r="H126" t="s">
        <v>101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577</v>
      </c>
      <c r="R126" t="s">
        <v>578</v>
      </c>
      <c r="U126">
        <v>102028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2029</v>
      </c>
      <c r="C127" t="s">
        <v>579</v>
      </c>
      <c r="D127" t="s">
        <v>580</v>
      </c>
      <c r="E127" t="s">
        <v>134</v>
      </c>
      <c r="H127" t="s">
        <v>95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581</v>
      </c>
      <c r="R127" t="s">
        <v>582</v>
      </c>
      <c r="U127">
        <v>102029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2030</v>
      </c>
      <c r="C128" t="s">
        <v>583</v>
      </c>
      <c r="D128" t="s">
        <v>584</v>
      </c>
      <c r="E128" t="s">
        <v>134</v>
      </c>
      <c r="H128" t="s">
        <v>101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585</v>
      </c>
      <c r="R128" t="s">
        <v>586</v>
      </c>
      <c r="U128">
        <v>102030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2031</v>
      </c>
      <c r="C129" t="s">
        <v>587</v>
      </c>
      <c r="D129" t="s">
        <v>588</v>
      </c>
      <c r="E129" t="s">
        <v>134</v>
      </c>
      <c r="H129" t="s">
        <v>95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589</v>
      </c>
      <c r="R129" t="s">
        <v>590</v>
      </c>
      <c r="U129">
        <v>102031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2032</v>
      </c>
      <c r="C130" t="s">
        <v>591</v>
      </c>
      <c r="D130" t="s">
        <v>592</v>
      </c>
      <c r="E130" t="s">
        <v>134</v>
      </c>
      <c r="H130" t="s">
        <v>106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593</v>
      </c>
      <c r="R130" t="s">
        <v>594</v>
      </c>
      <c r="U130">
        <v>102032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  <row r="131" spans="2:28">
      <c r="B131">
        <v>2033</v>
      </c>
      <c r="C131" t="s">
        <v>595</v>
      </c>
      <c r="D131" t="s">
        <v>596</v>
      </c>
      <c r="E131" t="s">
        <v>134</v>
      </c>
      <c r="H131" t="s">
        <v>101</v>
      </c>
      <c r="I131">
        <v>100</v>
      </c>
      <c r="J131" t="b">
        <v>0</v>
      </c>
      <c r="K131" t="s">
        <v>96</v>
      </c>
      <c r="L131">
        <v>100</v>
      </c>
      <c r="M131">
        <v>100</v>
      </c>
      <c r="Q131" t="s">
        <v>597</v>
      </c>
      <c r="R131" t="s">
        <v>598</v>
      </c>
      <c r="U131">
        <v>102033</v>
      </c>
      <c r="V131" t="s">
        <v>92</v>
      </c>
      <c r="X131" t="b">
        <v>1</v>
      </c>
      <c r="Y131" t="b">
        <v>0</v>
      </c>
      <c r="Z131" t="b">
        <v>0</v>
      </c>
      <c r="AA131" t="b">
        <v>0</v>
      </c>
      <c r="AB131" t="b">
        <v>0</v>
      </c>
    </row>
  </sheetData>
  <conditionalFormatting sqref="H106">
    <cfRule type="cellIs" dxfId="0" priority="7" operator="equal">
      <formula>"传说"</formula>
    </cfRule>
    <cfRule type="cellIs" dxfId="1" priority="6" operator="equal">
      <formula>"史诗"</formula>
    </cfRule>
    <cfRule type="cellIs" dxfId="2" priority="5" operator="equal">
      <formula>"稀有"</formula>
    </cfRule>
    <cfRule type="cellIs" dxfId="3" priority="4" operator="equal">
      <formula>"优秀"</formula>
    </cfRule>
    <cfRule type="cellIs" dxfId="4" priority="3" operator="equal">
      <formula>"神话"</formula>
    </cfRule>
    <cfRule type="cellIs" dxfId="5" priority="2" operator="equal">
      <formula>"普通"</formula>
    </cfRule>
  </conditionalFormatting>
  <conditionalFormatting sqref="K106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5 H107:H1048576">
    <cfRule type="cellIs" dxfId="5" priority="16" operator="equal">
      <formula>"普通"</formula>
    </cfRule>
    <cfRule type="cellIs" dxfId="4" priority="17" operator="equal">
      <formula>"神话"</formula>
    </cfRule>
    <cfRule type="cellIs" dxfId="3" priority="18" operator="equal">
      <formula>"优秀"</formula>
    </cfRule>
    <cfRule type="cellIs" dxfId="2" priority="19" operator="equal">
      <formula>"稀有"</formula>
    </cfRule>
    <cfRule type="cellIs" dxfId="1" priority="20" operator="equal">
      <formula>"史诗"</formula>
    </cfRule>
    <cfRule type="cellIs" dxfId="0" priority="21" operator="equal">
      <formula>"传说"</formula>
    </cfRule>
  </conditionalFormatting>
  <conditionalFormatting sqref="K1:K105 K107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7 H79:H86 H90:H131">
      <formula1>表说明!$F$2:$F$9</formula1>
    </dataValidation>
    <dataValidation type="list" allowBlank="1" showInputMessage="1" showErrorMessage="1" sqref="K5:K16 K18:K27 K30:K77 K79:K87 K90:K131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599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600</v>
      </c>
      <c r="E2" t="s">
        <v>601</v>
      </c>
      <c r="F2" t="s">
        <v>291</v>
      </c>
      <c r="G2" s="16"/>
      <c r="H2" s="16" t="s">
        <v>602</v>
      </c>
      <c r="I2" s="16" t="s">
        <v>208</v>
      </c>
      <c r="J2" s="16">
        <v>1</v>
      </c>
      <c r="K2" s="16" t="s">
        <v>603</v>
      </c>
      <c r="O2" s="16" t="s">
        <v>604</v>
      </c>
      <c r="P2" s="16" t="s">
        <v>605</v>
      </c>
    </row>
    <row r="3" spans="1:21">
      <c r="B3" s="16" t="s">
        <v>134</v>
      </c>
      <c r="C3" s="16" t="s">
        <v>606</v>
      </c>
      <c r="E3" s="16" t="s">
        <v>607</v>
      </c>
      <c r="F3" s="16" t="s">
        <v>101</v>
      </c>
      <c r="G3" s="16"/>
      <c r="H3" s="16" t="s">
        <v>608</v>
      </c>
      <c r="I3" s="16" t="s">
        <v>609</v>
      </c>
      <c r="J3" s="16">
        <v>2</v>
      </c>
      <c r="K3" s="16" t="s">
        <v>610</v>
      </c>
      <c r="O3" s="16" t="s">
        <v>611</v>
      </c>
      <c r="P3" s="16" t="s">
        <v>612</v>
      </c>
    </row>
    <row r="4" spans="1:21">
      <c r="B4" s="16" t="s">
        <v>185</v>
      </c>
      <c r="C4" s="16" t="s">
        <v>613</v>
      </c>
      <c r="E4" s="16" t="s">
        <v>614</v>
      </c>
      <c r="F4" s="16" t="s">
        <v>106</v>
      </c>
      <c r="G4" s="16"/>
      <c r="H4" s="16" t="s">
        <v>615</v>
      </c>
      <c r="I4" s="16" t="s">
        <v>616</v>
      </c>
      <c r="J4" s="16">
        <v>4</v>
      </c>
      <c r="K4" s="16" t="s">
        <v>617</v>
      </c>
      <c r="O4" s="16" t="s">
        <v>618</v>
      </c>
      <c r="P4" s="16" t="s">
        <v>619</v>
      </c>
    </row>
    <row r="5" spans="1:21">
      <c r="B5" s="16" t="s">
        <v>207</v>
      </c>
      <c r="C5" s="16" t="s">
        <v>620</v>
      </c>
      <c r="E5" s="16" t="s">
        <v>621</v>
      </c>
      <c r="F5" s="16" t="s">
        <v>95</v>
      </c>
      <c r="G5" s="16"/>
      <c r="H5" s="16" t="s">
        <v>622</v>
      </c>
      <c r="I5" s="16" t="s">
        <v>623</v>
      </c>
      <c r="J5" s="16">
        <v>8</v>
      </c>
      <c r="K5" s="16" t="s">
        <v>624</v>
      </c>
      <c r="O5" s="16" t="s">
        <v>625</v>
      </c>
      <c r="P5" s="16" t="s">
        <v>626</v>
      </c>
    </row>
    <row r="6" spans="1:21">
      <c r="B6" s="16" t="s">
        <v>233</v>
      </c>
      <c r="C6" s="16" t="s">
        <v>627</v>
      </c>
      <c r="E6" t="s">
        <v>628</v>
      </c>
      <c r="F6" t="s">
        <v>135</v>
      </c>
      <c r="G6" s="16"/>
      <c r="H6" s="16" t="s">
        <v>629</v>
      </c>
      <c r="I6" s="16" t="s">
        <v>630</v>
      </c>
      <c r="J6" s="16">
        <v>16</v>
      </c>
      <c r="K6" s="16" t="s">
        <v>631</v>
      </c>
      <c r="O6" s="16" t="s">
        <v>632</v>
      </c>
      <c r="P6" s="16" t="s">
        <v>633</v>
      </c>
    </row>
    <row r="7" spans="1:21">
      <c r="B7" s="16" t="s">
        <v>266</v>
      </c>
      <c r="C7" s="16" t="s">
        <v>634</v>
      </c>
      <c r="E7" s="16" t="s">
        <v>635</v>
      </c>
      <c r="F7" s="16" t="s">
        <v>88</v>
      </c>
      <c r="G7" s="16"/>
      <c r="H7" s="16" t="s">
        <v>636</v>
      </c>
      <c r="I7" s="16" t="s">
        <v>637</v>
      </c>
      <c r="J7" s="16">
        <v>32</v>
      </c>
      <c r="K7" s="16" t="s">
        <v>638</v>
      </c>
      <c r="O7" s="16" t="s">
        <v>639</v>
      </c>
      <c r="P7" s="16" t="s">
        <v>640</v>
      </c>
    </row>
    <row r="8" spans="1:21">
      <c r="B8" s="16" t="s">
        <v>312</v>
      </c>
      <c r="C8" s="16" t="s">
        <v>641</v>
      </c>
      <c r="E8" s="16" t="s">
        <v>642</v>
      </c>
      <c r="F8" s="16" t="s">
        <v>503</v>
      </c>
      <c r="H8" s="16" t="s">
        <v>643</v>
      </c>
      <c r="I8" s="16" t="s">
        <v>644</v>
      </c>
      <c r="J8" s="16">
        <v>64</v>
      </c>
      <c r="K8" s="16" t="s">
        <v>645</v>
      </c>
      <c r="O8" s="16" t="s">
        <v>646</v>
      </c>
      <c r="P8" s="16" t="s">
        <v>647</v>
      </c>
    </row>
    <row r="9" spans="1:21">
      <c r="B9" s="16" t="s">
        <v>389</v>
      </c>
      <c r="C9" s="16" t="s">
        <v>648</v>
      </c>
      <c r="E9" s="16" t="s">
        <v>649</v>
      </c>
      <c r="F9" s="16" t="s">
        <v>650</v>
      </c>
      <c r="H9" s="16" t="s">
        <v>651</v>
      </c>
      <c r="I9" s="16" t="s">
        <v>652</v>
      </c>
      <c r="J9" s="16">
        <v>128</v>
      </c>
      <c r="K9" s="16" t="s">
        <v>653</v>
      </c>
      <c r="O9" s="16" t="s">
        <v>654</v>
      </c>
      <c r="P9" s="16" t="s">
        <v>655</v>
      </c>
    </row>
    <row r="10" spans="1:21">
      <c r="B10" s="16" t="s">
        <v>434</v>
      </c>
      <c r="C10" s="16" t="s">
        <v>656</v>
      </c>
      <c r="H10" s="16" t="s">
        <v>657</v>
      </c>
      <c r="I10" s="16" t="s">
        <v>658</v>
      </c>
      <c r="J10" s="16">
        <v>256</v>
      </c>
      <c r="K10" s="16" t="s">
        <v>659</v>
      </c>
    </row>
    <row r="11" spans="1:21">
      <c r="B11" s="16" t="s">
        <v>482</v>
      </c>
      <c r="C11" s="16" t="s">
        <v>660</v>
      </c>
      <c r="H11" s="16" t="s">
        <v>661</v>
      </c>
      <c r="I11" s="16" t="s">
        <v>662</v>
      </c>
      <c r="J11" s="16">
        <v>512</v>
      </c>
      <c r="K11" s="16" t="s">
        <v>663</v>
      </c>
    </row>
    <row r="12" spans="1:21">
      <c r="B12" s="16" t="s">
        <v>487</v>
      </c>
      <c r="C12" s="16" t="s">
        <v>664</v>
      </c>
      <c r="H12" s="16" t="s">
        <v>665</v>
      </c>
      <c r="I12" s="16" t="s">
        <v>666</v>
      </c>
      <c r="J12" s="16">
        <v>1024</v>
      </c>
      <c r="K12" s="16" t="s">
        <v>667</v>
      </c>
    </row>
    <row r="13" spans="1:21">
      <c r="B13" s="16" t="s">
        <v>496</v>
      </c>
      <c r="C13" s="16" t="s">
        <v>668</v>
      </c>
      <c r="H13" s="16" t="s">
        <v>669</v>
      </c>
      <c r="I13" s="16" t="s">
        <v>670</v>
      </c>
      <c r="J13" s="16">
        <v>2048</v>
      </c>
      <c r="K13" s="16" t="s">
        <v>671</v>
      </c>
    </row>
    <row r="18" spans="1:21">
      <c r="B18" s="16" t="s">
        <v>672</v>
      </c>
      <c r="C18" s="16" t="s">
        <v>89</v>
      </c>
    </row>
    <row r="19" spans="1:21">
      <c r="B19" s="16" t="s">
        <v>673</v>
      </c>
      <c r="C19" s="16" t="s">
        <v>96</v>
      </c>
    </row>
    <row r="20" spans="1:21">
      <c r="B20" s="16" t="s">
        <v>674</v>
      </c>
      <c r="C20" s="16" t="s">
        <v>435</v>
      </c>
    </row>
    <row r="21" spans="1:21">
      <c r="B21" s="16" t="s">
        <v>675</v>
      </c>
      <c r="C21" s="16" t="s">
        <v>504</v>
      </c>
    </row>
    <row r="22" spans="1:21">
      <c r="B22" s="16" t="s">
        <v>676</v>
      </c>
      <c r="C22" s="16" t="s">
        <v>186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156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K23" sqref="K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K1" t="s">
        <v>769</v>
      </c>
      <c r="L1" t="s">
        <v>726</v>
      </c>
      <c r="M1" t="s">
        <v>770</v>
      </c>
      <c r="N1" t="s">
        <v>771</v>
      </c>
      <c r="O1" t="s">
        <v>772</v>
      </c>
      <c r="P1" t="s">
        <v>773</v>
      </c>
      <c r="Q1" t="s">
        <v>156</v>
      </c>
      <c r="R1" t="s">
        <v>774</v>
      </c>
      <c r="S1" t="s">
        <v>775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776</v>
      </c>
      <c r="D3" s="2" t="s">
        <v>765</v>
      </c>
      <c r="E3" s="2" t="s">
        <v>777</v>
      </c>
      <c r="F3" s="2" t="s">
        <v>778</v>
      </c>
      <c r="G3" s="2" t="s">
        <v>779</v>
      </c>
      <c r="H3" s="2" t="s">
        <v>780</v>
      </c>
      <c r="I3" s="2" t="s">
        <v>780</v>
      </c>
      <c r="J3" s="2" t="s">
        <v>781</v>
      </c>
      <c r="K3" s="2" t="s">
        <v>782</v>
      </c>
      <c r="L3" s="2" t="s">
        <v>749</v>
      </c>
      <c r="M3" s="2" t="s">
        <v>783</v>
      </c>
      <c r="N3" s="2" t="s">
        <v>784</v>
      </c>
      <c r="O3" s="2" t="s">
        <v>785</v>
      </c>
      <c r="P3" s="2" t="s">
        <v>786</v>
      </c>
      <c r="Q3" s="2"/>
      <c r="R3" s="2" t="s">
        <v>787</v>
      </c>
      <c r="S3" s="2" t="s">
        <v>788</v>
      </c>
    </row>
    <row r="4" spans="1:19">
      <c r="A4" s="4" t="s">
        <v>39</v>
      </c>
      <c r="B4" t="s">
        <v>57</v>
      </c>
      <c r="C4" t="s">
        <v>740</v>
      </c>
      <c r="D4" t="s">
        <v>789</v>
      </c>
      <c r="E4" t="s">
        <v>790</v>
      </c>
      <c r="F4" t="s">
        <v>791</v>
      </c>
      <c r="G4" t="s">
        <v>792</v>
      </c>
      <c r="H4" t="s">
        <v>793</v>
      </c>
      <c r="I4" t="s">
        <v>794</v>
      </c>
      <c r="J4" s="20">
        <v>10</v>
      </c>
      <c r="K4" t="s">
        <v>795</v>
      </c>
      <c r="L4" t="s">
        <v>749</v>
      </c>
      <c r="M4" t="s">
        <v>796</v>
      </c>
      <c r="N4" t="s">
        <v>797</v>
      </c>
      <c r="O4" t="s">
        <v>798</v>
      </c>
      <c r="P4" t="s">
        <v>799</v>
      </c>
      <c r="R4" t="s">
        <v>800</v>
      </c>
      <c r="S4" t="s">
        <v>801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300</v>
      </c>
      <c r="G5">
        <f>J5*$J$4</f>
        <v>300</v>
      </c>
      <c r="H5">
        <f>G5/60</f>
        <v>5</v>
      </c>
      <c r="I5">
        <f>SUM($H$5:H5)</f>
        <v>5</v>
      </c>
      <c r="J5">
        <v>30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660</v>
      </c>
      <c r="G6">
        <f t="shared" ref="G6:G16" si="0">J6*$J$4</f>
        <v>360</v>
      </c>
      <c r="H6">
        <f t="shared" ref="H6:H16" si="1">G6/60</f>
        <v>6</v>
      </c>
      <c r="I6">
        <f>SUM($H$5:H6)</f>
        <v>11</v>
      </c>
      <c r="J6">
        <v>36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1140</v>
      </c>
      <c r="G7">
        <f t="shared" si="0"/>
        <v>480</v>
      </c>
      <c r="H7">
        <f t="shared" si="1"/>
        <v>8</v>
      </c>
      <c r="I7">
        <f>SUM($H$5:H7)</f>
        <v>19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1620</v>
      </c>
      <c r="G8">
        <f t="shared" si="0"/>
        <v>480</v>
      </c>
      <c r="H8">
        <f t="shared" si="1"/>
        <v>8</v>
      </c>
      <c r="I8">
        <f>SUM($H$5:H8)</f>
        <v>27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2220</v>
      </c>
      <c r="G9">
        <f t="shared" si="0"/>
        <v>600</v>
      </c>
      <c r="H9">
        <f t="shared" si="1"/>
        <v>10</v>
      </c>
      <c r="I9">
        <f>SUM($H$5:H9)</f>
        <v>37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2820</v>
      </c>
      <c r="G10">
        <f t="shared" si="0"/>
        <v>600</v>
      </c>
      <c r="H10">
        <f t="shared" si="1"/>
        <v>10</v>
      </c>
      <c r="I10">
        <f>SUM($H$5:H10)</f>
        <v>47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3540</v>
      </c>
      <c r="G11">
        <f t="shared" si="0"/>
        <v>720</v>
      </c>
      <c r="H11">
        <f t="shared" si="1"/>
        <v>12</v>
      </c>
      <c r="I11">
        <f>SUM($H$5:H11)</f>
        <v>59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4260</v>
      </c>
      <c r="G12">
        <f t="shared" si="0"/>
        <v>720</v>
      </c>
      <c r="H12">
        <f t="shared" si="1"/>
        <v>12</v>
      </c>
      <c r="I12">
        <f>SUM($H$5:H12)</f>
        <v>71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5160</v>
      </c>
      <c r="G13">
        <f t="shared" si="0"/>
        <v>900</v>
      </c>
      <c r="H13">
        <f t="shared" si="1"/>
        <v>15</v>
      </c>
      <c r="I13">
        <f>SUM($H$5:H13)</f>
        <v>86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6060</v>
      </c>
      <c r="G14">
        <f t="shared" si="0"/>
        <v>900</v>
      </c>
      <c r="H14">
        <f t="shared" si="1"/>
        <v>15</v>
      </c>
      <c r="I14">
        <f>SUM($H$5:H14)</f>
        <v>101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6960</v>
      </c>
      <c r="G15">
        <f t="shared" si="0"/>
        <v>900</v>
      </c>
      <c r="H15">
        <f t="shared" si="1"/>
        <v>15</v>
      </c>
      <c r="I15">
        <f>SUM($H$5:H15)</f>
        <v>116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7860</v>
      </c>
      <c r="G16">
        <f t="shared" si="0"/>
        <v>900</v>
      </c>
      <c r="H16">
        <f t="shared" si="1"/>
        <v>15</v>
      </c>
      <c r="I16">
        <f>SUM($H$5:H16)</f>
        <v>131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900</v>
      </c>
      <c r="K18">
        <v>-1</v>
      </c>
      <c r="L18" t="b">
        <v>1</v>
      </c>
      <c r="M18">
        <v>701101</v>
      </c>
      <c r="N18">
        <f>180*$J$4</f>
        <v>1800</v>
      </c>
      <c r="O18">
        <f>360*$J$4</f>
        <v>3600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764</v>
      </c>
      <c r="D1" t="s">
        <v>802</v>
      </c>
      <c r="E1" t="s">
        <v>803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804</v>
      </c>
      <c r="C3" s="2" t="s">
        <v>776</v>
      </c>
      <c r="D3" s="2" t="s">
        <v>805</v>
      </c>
      <c r="E3" s="2" t="s">
        <v>806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807</v>
      </c>
      <c r="G4" t="s">
        <v>749</v>
      </c>
      <c r="H4" t="s">
        <v>808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95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106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101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291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809</v>
      </c>
    </row>
    <row r="14" spans="1:8">
      <c r="B14">
        <v>100203</v>
      </c>
      <c r="C14">
        <v>1002</v>
      </c>
      <c r="D14" t="s">
        <v>95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106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101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291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656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656</v>
      </c>
    </row>
    <row r="21" spans="1:8">
      <c r="B21">
        <v>200103</v>
      </c>
      <c r="C21">
        <v>2001</v>
      </c>
      <c r="D21" t="s">
        <v>95</v>
      </c>
      <c r="E21">
        <v>7000</v>
      </c>
      <c r="G21" t="b">
        <v>1</v>
      </c>
      <c r="H21" t="s">
        <v>656</v>
      </c>
    </row>
    <row r="22" spans="1:8">
      <c r="B22">
        <v>200104</v>
      </c>
      <c r="C22">
        <v>2001</v>
      </c>
      <c r="D22" t="s">
        <v>106</v>
      </c>
      <c r="E22">
        <v>0</v>
      </c>
      <c r="G22" t="b">
        <v>1</v>
      </c>
      <c r="H22" t="s">
        <v>656</v>
      </c>
    </row>
    <row r="23" spans="1:8">
      <c r="B23">
        <v>200105</v>
      </c>
      <c r="C23">
        <v>2001</v>
      </c>
      <c r="D23" t="s">
        <v>101</v>
      </c>
      <c r="E23">
        <v>0</v>
      </c>
      <c r="G23" t="b">
        <v>1</v>
      </c>
      <c r="H23" t="s">
        <v>656</v>
      </c>
    </row>
    <row r="24" spans="1:8">
      <c r="B24">
        <v>200106</v>
      </c>
      <c r="C24">
        <v>2001</v>
      </c>
      <c r="D24" t="s">
        <v>291</v>
      </c>
      <c r="E24">
        <v>0</v>
      </c>
      <c r="G24" t="b">
        <v>1</v>
      </c>
      <c r="H24" t="s">
        <v>656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810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811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95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106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101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291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812</v>
      </c>
      <c r="D1" t="s">
        <v>803</v>
      </c>
      <c r="E1" t="s">
        <v>813</v>
      </c>
      <c r="F1" t="s">
        <v>814</v>
      </c>
      <c r="G1" t="s">
        <v>815</v>
      </c>
      <c r="H1" t="s">
        <v>816</v>
      </c>
      <c r="I1" t="s">
        <v>726</v>
      </c>
      <c r="J1" t="s">
        <v>817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818</v>
      </c>
      <c r="D3" s="2" t="s">
        <v>819</v>
      </c>
      <c r="E3" s="2" t="s">
        <v>820</v>
      </c>
      <c r="F3" s="2" t="s">
        <v>821</v>
      </c>
      <c r="G3" s="2" t="s">
        <v>821</v>
      </c>
      <c r="H3" s="2" t="s">
        <v>822</v>
      </c>
      <c r="I3" s="2" t="s">
        <v>749</v>
      </c>
      <c r="J3" s="2" t="s">
        <v>823</v>
      </c>
    </row>
    <row r="4" spans="1:11">
      <c r="A4" t="s">
        <v>39</v>
      </c>
      <c r="B4" t="s">
        <v>57</v>
      </c>
      <c r="C4" t="s">
        <v>824</v>
      </c>
      <c r="D4" t="s">
        <v>825</v>
      </c>
      <c r="E4" t="s">
        <v>826</v>
      </c>
      <c r="F4" t="s">
        <v>827</v>
      </c>
      <c r="G4" t="s">
        <v>827</v>
      </c>
      <c r="H4" t="s">
        <v>828</v>
      </c>
      <c r="I4" t="s">
        <v>749</v>
      </c>
      <c r="J4" t="s">
        <v>829</v>
      </c>
      <c r="K4" t="s">
        <v>808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95</v>
      </c>
      <c r="D11">
        <v>45</v>
      </c>
      <c r="E11" t="s">
        <v>88</v>
      </c>
      <c r="F11" t="s">
        <v>88</v>
      </c>
      <c r="G11" t="s">
        <v>135</v>
      </c>
      <c r="H11" t="s">
        <v>95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95</v>
      </c>
      <c r="D12">
        <v>25</v>
      </c>
      <c r="E12" t="s">
        <v>88</v>
      </c>
      <c r="F12" t="s">
        <v>135</v>
      </c>
      <c r="G12" t="s">
        <v>135</v>
      </c>
      <c r="H12" t="s">
        <v>95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95</v>
      </c>
      <c r="D13">
        <v>25</v>
      </c>
      <c r="E13" t="s">
        <v>88</v>
      </c>
      <c r="F13" t="s">
        <v>135</v>
      </c>
      <c r="G13" t="s">
        <v>95</v>
      </c>
      <c r="H13" t="s">
        <v>95</v>
      </c>
      <c r="I13" t="b">
        <v>1</v>
      </c>
      <c r="J13" t="b">
        <v>1</v>
      </c>
    </row>
    <row r="14" spans="1:11">
      <c r="B14">
        <v>100604</v>
      </c>
      <c r="C14" t="s">
        <v>95</v>
      </c>
      <c r="D14">
        <v>5</v>
      </c>
      <c r="E14" t="s">
        <v>135</v>
      </c>
      <c r="F14" t="s">
        <v>95</v>
      </c>
      <c r="G14" t="s">
        <v>95</v>
      </c>
      <c r="H14" t="s">
        <v>95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106</v>
      </c>
      <c r="D16">
        <v>65</v>
      </c>
      <c r="E16" t="s">
        <v>88</v>
      </c>
      <c r="F16" t="s">
        <v>135</v>
      </c>
      <c r="G16" t="s">
        <v>95</v>
      </c>
      <c r="H16" t="s">
        <v>106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106</v>
      </c>
      <c r="D17">
        <v>15</v>
      </c>
      <c r="E17" t="s">
        <v>88</v>
      </c>
      <c r="F17" t="s">
        <v>95</v>
      </c>
      <c r="G17" t="s">
        <v>95</v>
      </c>
      <c r="H17" t="s">
        <v>106</v>
      </c>
      <c r="I17" t="b">
        <v>1</v>
      </c>
      <c r="J17" t="b">
        <v>1</v>
      </c>
      <c r="K17" t="s">
        <v>830</v>
      </c>
    </row>
    <row r="18" spans="1:11">
      <c r="A18" t="s">
        <v>156</v>
      </c>
      <c r="B18">
        <v>100703</v>
      </c>
      <c r="C18" t="s">
        <v>106</v>
      </c>
      <c r="D18">
        <v>15</v>
      </c>
      <c r="E18" t="s">
        <v>88</v>
      </c>
      <c r="F18" t="s">
        <v>135</v>
      </c>
      <c r="G18" t="s">
        <v>135</v>
      </c>
      <c r="H18" t="s">
        <v>106</v>
      </c>
      <c r="I18" t="b">
        <v>1</v>
      </c>
      <c r="J18" t="b">
        <v>1</v>
      </c>
      <c r="K18" t="s">
        <v>830</v>
      </c>
    </row>
    <row r="19" spans="1:11">
      <c r="A19" t="s">
        <v>156</v>
      </c>
      <c r="B19">
        <v>100704</v>
      </c>
      <c r="C19" t="s">
        <v>106</v>
      </c>
      <c r="D19">
        <v>5</v>
      </c>
      <c r="E19" t="s">
        <v>135</v>
      </c>
      <c r="F19" t="s">
        <v>95</v>
      </c>
      <c r="G19" t="s">
        <v>106</v>
      </c>
      <c r="H19" t="s">
        <v>106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101</v>
      </c>
      <c r="D21">
        <v>37</v>
      </c>
      <c r="E21" t="s">
        <v>88</v>
      </c>
      <c r="F21" t="s">
        <v>95</v>
      </c>
      <c r="G21" t="s">
        <v>106</v>
      </c>
      <c r="H21" t="s">
        <v>101</v>
      </c>
      <c r="I21" t="b">
        <v>1</v>
      </c>
      <c r="J21" t="b">
        <v>1</v>
      </c>
      <c r="K21" t="s">
        <v>830</v>
      </c>
    </row>
    <row r="22" spans="1:11">
      <c r="A22" t="s">
        <v>156</v>
      </c>
      <c r="B22">
        <v>100802</v>
      </c>
      <c r="C22" t="s">
        <v>101</v>
      </c>
      <c r="D22">
        <v>55</v>
      </c>
      <c r="E22" t="s">
        <v>88</v>
      </c>
      <c r="F22" t="s">
        <v>135</v>
      </c>
      <c r="G22" t="s">
        <v>106</v>
      </c>
      <c r="H22" t="s">
        <v>101</v>
      </c>
      <c r="I22" t="b">
        <v>1</v>
      </c>
      <c r="J22" t="b">
        <v>1</v>
      </c>
      <c r="K22" t="s">
        <v>830</v>
      </c>
    </row>
    <row r="23" spans="1:11">
      <c r="A23" t="s">
        <v>156</v>
      </c>
      <c r="B23">
        <v>100803</v>
      </c>
      <c r="C23" t="s">
        <v>101</v>
      </c>
      <c r="D23">
        <v>3</v>
      </c>
      <c r="E23" t="s">
        <v>95</v>
      </c>
      <c r="F23" t="s">
        <v>106</v>
      </c>
      <c r="G23" t="s">
        <v>106</v>
      </c>
      <c r="H23" t="s">
        <v>101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101</v>
      </c>
      <c r="D24">
        <v>5</v>
      </c>
      <c r="E24" t="s">
        <v>135</v>
      </c>
      <c r="F24" t="s">
        <v>95</v>
      </c>
      <c r="G24" t="s">
        <v>106</v>
      </c>
      <c r="H24" t="s">
        <v>101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291</v>
      </c>
      <c r="D26">
        <v>25</v>
      </c>
      <c r="E26" t="s">
        <v>95</v>
      </c>
      <c r="F26" t="s">
        <v>106</v>
      </c>
      <c r="G26" t="s">
        <v>101</v>
      </c>
      <c r="H26" t="s">
        <v>291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291</v>
      </c>
      <c r="D27">
        <v>25</v>
      </c>
      <c r="E27" t="s">
        <v>95</v>
      </c>
      <c r="F27" t="s">
        <v>95</v>
      </c>
      <c r="G27" t="s">
        <v>101</v>
      </c>
      <c r="H27" t="s">
        <v>291</v>
      </c>
      <c r="I27" t="b">
        <v>1</v>
      </c>
      <c r="J27" t="b">
        <v>1</v>
      </c>
      <c r="K27" t="s">
        <v>830</v>
      </c>
    </row>
    <row r="28" spans="1:11">
      <c r="A28" t="s">
        <v>156</v>
      </c>
      <c r="B28">
        <v>100903</v>
      </c>
      <c r="C28" t="s">
        <v>291</v>
      </c>
      <c r="D28">
        <v>25</v>
      </c>
      <c r="E28" t="s">
        <v>95</v>
      </c>
      <c r="F28" t="s">
        <v>101</v>
      </c>
      <c r="G28" t="s">
        <v>101</v>
      </c>
      <c r="H28" t="s">
        <v>291</v>
      </c>
      <c r="I28" t="b">
        <v>1</v>
      </c>
      <c r="J28" t="b">
        <v>1</v>
      </c>
      <c r="K28" t="s">
        <v>830</v>
      </c>
    </row>
    <row r="29" spans="1:11">
      <c r="A29" t="s">
        <v>156</v>
      </c>
      <c r="B29">
        <v>100904</v>
      </c>
      <c r="C29" t="s">
        <v>291</v>
      </c>
      <c r="D29">
        <v>25</v>
      </c>
      <c r="E29" t="s">
        <v>88</v>
      </c>
      <c r="F29" t="s">
        <v>95</v>
      </c>
      <c r="G29" t="s">
        <v>101</v>
      </c>
      <c r="H29" t="s">
        <v>291</v>
      </c>
      <c r="I29" t="b">
        <v>1</v>
      </c>
      <c r="J29" t="b">
        <v>1</v>
      </c>
      <c r="K29" t="s">
        <v>830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650</v>
      </c>
      <c r="D32">
        <v>100</v>
      </c>
      <c r="E32" t="s">
        <v>650</v>
      </c>
      <c r="F32" t="s">
        <v>650</v>
      </c>
      <c r="G32" t="s">
        <v>650</v>
      </c>
      <c r="H32" t="s">
        <v>650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4" priority="7" operator="equal">
      <formula>"神话"</formula>
    </cfRule>
    <cfRule type="cellIs" dxfId="3" priority="8" operator="equal">
      <formula>"优秀"</formula>
    </cfRule>
    <cfRule type="cellIs" dxfId="2" priority="9" operator="equal">
      <formula>"稀有"</formula>
    </cfRule>
    <cfRule type="cellIs" dxfId="1" priority="10" operator="equal">
      <formula>"史诗"</formula>
    </cfRule>
    <cfRule type="cellIs" dxfId="0" priority="11" operator="equal">
      <formula>"传说"</formula>
    </cfRule>
  </conditionalFormatting>
  <conditionalFormatting sqref="E$1:H$1048576">
    <cfRule type="cellIs" dxfId="5" priority="1" operator="equal">
      <formula>"普通"</formula>
    </cfRule>
  </conditionalFormatting>
  <conditionalFormatting sqref="E25:H29">
    <cfRule type="cellIs" dxfId="0" priority="6" operator="equal">
      <formula>"传说"</formula>
    </cfRule>
    <cfRule type="cellIs" dxfId="1" priority="5" operator="equal">
      <formula>"史诗"</formula>
    </cfRule>
    <cfRule type="cellIs" dxfId="2" priority="4" operator="equal">
      <formula>"稀有"</formula>
    </cfRule>
    <cfRule type="cellIs" dxfId="3" priority="3" operator="equal">
      <formula>"优秀"</formula>
    </cfRule>
    <cfRule type="cellIs" dxfId="4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831</v>
      </c>
      <c r="F1" t="s">
        <v>832</v>
      </c>
      <c r="G1" t="s">
        <v>833</v>
      </c>
      <c r="H1" t="s">
        <v>834</v>
      </c>
      <c r="I1" t="s">
        <v>835</v>
      </c>
      <c r="K1" t="s">
        <v>836</v>
      </c>
      <c r="L1" t="s">
        <v>837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838</v>
      </c>
      <c r="D3" s="2"/>
      <c r="E3" s="2" t="s">
        <v>839</v>
      </c>
      <c r="G3" s="2" t="s">
        <v>840</v>
      </c>
      <c r="H3" s="2" t="s">
        <v>841</v>
      </c>
      <c r="I3" s="2" t="s">
        <v>840</v>
      </c>
      <c r="K3" s="2" t="s">
        <v>842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843</v>
      </c>
      <c r="F4" t="s">
        <v>844</v>
      </c>
      <c r="G4" t="s">
        <v>845</v>
      </c>
      <c r="H4" t="s">
        <v>846</v>
      </c>
      <c r="I4" t="s">
        <v>847</v>
      </c>
      <c r="J4" t="s">
        <v>808</v>
      </c>
      <c r="K4" t="s">
        <v>848</v>
      </c>
      <c r="L4" t="s">
        <v>849</v>
      </c>
    </row>
    <row r="5" spans="1:12">
      <c r="B5">
        <v>1001</v>
      </c>
      <c r="C5" t="s">
        <v>601</v>
      </c>
      <c r="D5" t="s">
        <v>291</v>
      </c>
      <c r="E5" t="s">
        <v>850</v>
      </c>
      <c r="F5" t="s">
        <v>851</v>
      </c>
      <c r="H5" t="s">
        <v>852</v>
      </c>
      <c r="K5" t="s">
        <v>853</v>
      </c>
    </row>
    <row r="6" spans="1:12">
      <c r="B6">
        <v>1002</v>
      </c>
      <c r="C6" s="16" t="s">
        <v>607</v>
      </c>
      <c r="D6" s="16" t="s">
        <v>101</v>
      </c>
      <c r="E6" t="s">
        <v>854</v>
      </c>
      <c r="F6" t="s">
        <v>851</v>
      </c>
      <c r="H6" t="s">
        <v>855</v>
      </c>
      <c r="K6" t="s">
        <v>856</v>
      </c>
    </row>
    <row r="7" spans="1:12">
      <c r="B7">
        <v>1003</v>
      </c>
      <c r="C7" s="16" t="s">
        <v>614</v>
      </c>
      <c r="D7" s="16" t="s">
        <v>106</v>
      </c>
      <c r="E7" t="s">
        <v>857</v>
      </c>
      <c r="F7" t="s">
        <v>851</v>
      </c>
      <c r="H7" t="s">
        <v>858</v>
      </c>
      <c r="K7" t="s">
        <v>859</v>
      </c>
    </row>
    <row r="8" spans="1:12">
      <c r="B8">
        <v>1004</v>
      </c>
      <c r="C8" s="16" t="s">
        <v>621</v>
      </c>
      <c r="D8" s="16" t="s">
        <v>95</v>
      </c>
      <c r="E8" t="s">
        <v>860</v>
      </c>
      <c r="F8" t="s">
        <v>851</v>
      </c>
      <c r="H8" t="s">
        <v>861</v>
      </c>
      <c r="K8" t="s">
        <v>862</v>
      </c>
    </row>
    <row r="9" spans="1:12">
      <c r="B9">
        <v>1005</v>
      </c>
      <c r="C9" s="16" t="s">
        <v>628</v>
      </c>
      <c r="D9" s="16" t="s">
        <v>135</v>
      </c>
      <c r="E9" t="s">
        <v>863</v>
      </c>
      <c r="F9" t="s">
        <v>851</v>
      </c>
      <c r="H9" t="s">
        <v>864</v>
      </c>
      <c r="K9" t="s">
        <v>853</v>
      </c>
    </row>
    <row r="10" spans="1:12">
      <c r="B10">
        <v>1006</v>
      </c>
      <c r="C10" s="16" t="s">
        <v>635</v>
      </c>
      <c r="D10" s="16" t="s">
        <v>88</v>
      </c>
      <c r="E10" t="s">
        <v>865</v>
      </c>
      <c r="F10" t="s">
        <v>851</v>
      </c>
      <c r="H10" t="s">
        <v>866</v>
      </c>
      <c r="K10" t="s">
        <v>856</v>
      </c>
    </row>
    <row r="11" spans="1:12">
      <c r="B11">
        <v>2001</v>
      </c>
      <c r="C11" s="16" t="s">
        <v>642</v>
      </c>
      <c r="D11" s="16" t="s">
        <v>503</v>
      </c>
      <c r="E11" t="s">
        <v>865</v>
      </c>
      <c r="F11" t="s">
        <v>851</v>
      </c>
      <c r="H11" t="s">
        <v>866</v>
      </c>
      <c r="J11" t="s">
        <v>867</v>
      </c>
    </row>
    <row r="12" spans="1:12">
      <c r="B12">
        <v>2002</v>
      </c>
      <c r="C12" s="16" t="s">
        <v>649</v>
      </c>
      <c r="D12" s="16" t="s">
        <v>650</v>
      </c>
      <c r="E12" t="s">
        <v>865</v>
      </c>
      <c r="F12" t="s">
        <v>851</v>
      </c>
      <c r="H12" t="s">
        <v>866</v>
      </c>
      <c r="J12" t="s">
        <v>867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868</v>
      </c>
      <c r="C1" t="s">
        <v>869</v>
      </c>
      <c r="D1" t="s">
        <v>870</v>
      </c>
      <c r="F1" t="s">
        <v>871</v>
      </c>
      <c r="G1" t="s">
        <v>872</v>
      </c>
      <c r="H1" t="s">
        <v>873</v>
      </c>
      <c r="I1" t="s">
        <v>874</v>
      </c>
    </row>
    <row r="2" spans="1:10">
      <c r="A2" t="s">
        <v>29</v>
      </c>
      <c r="B2" t="s">
        <v>875</v>
      </c>
      <c r="C2" t="s">
        <v>30</v>
      </c>
      <c r="D2" t="s">
        <v>876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877</v>
      </c>
      <c r="C3" s="2" t="s">
        <v>878</v>
      </c>
      <c r="D3" s="2" t="s">
        <v>879</v>
      </c>
      <c r="F3" s="2" t="s">
        <v>880</v>
      </c>
      <c r="G3" s="2" t="s">
        <v>881</v>
      </c>
      <c r="H3" s="2" t="s">
        <v>882</v>
      </c>
      <c r="I3" s="2" t="s">
        <v>883</v>
      </c>
    </row>
    <row r="4" spans="1:10">
      <c r="A4" t="s">
        <v>39</v>
      </c>
      <c r="B4" t="s">
        <v>884</v>
      </c>
      <c r="C4" t="s">
        <v>885</v>
      </c>
      <c r="D4" t="s">
        <v>886</v>
      </c>
      <c r="E4" t="s">
        <v>887</v>
      </c>
      <c r="F4" t="s">
        <v>888</v>
      </c>
      <c r="G4" t="s">
        <v>889</v>
      </c>
      <c r="H4" t="s">
        <v>890</v>
      </c>
      <c r="I4" t="s">
        <v>891</v>
      </c>
      <c r="J4" t="s">
        <v>887</v>
      </c>
    </row>
    <row r="6" spans="1:10">
      <c r="B6">
        <v>9001</v>
      </c>
      <c r="C6">
        <v>30</v>
      </c>
      <c r="D6" t="s">
        <v>892</v>
      </c>
      <c r="E6" t="str">
        <f>LOOKUP(B6,Item!B:B,Item!H:H)</f>
        <v>传说</v>
      </c>
      <c r="F6">
        <v>0.9</v>
      </c>
      <c r="G6" t="s">
        <v>893</v>
      </c>
      <c r="H6" t="s">
        <v>894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892</v>
      </c>
      <c r="E7" t="str">
        <f>LOOKUP(B7,Item!B:B,Item!H:H)</f>
        <v>传说</v>
      </c>
      <c r="F7">
        <v>0.8</v>
      </c>
      <c r="G7" t="s">
        <v>893</v>
      </c>
      <c r="H7" t="s">
        <v>894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892</v>
      </c>
      <c r="E8" t="str">
        <f>LOOKUP(B8,Item!B:B,Item!H:H)</f>
        <v>传说</v>
      </c>
      <c r="F8">
        <v>0.8</v>
      </c>
      <c r="G8" t="s">
        <v>893</v>
      </c>
      <c r="H8" t="s">
        <v>894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892</v>
      </c>
      <c r="E9" t="str">
        <f>LOOKUP(B9,Item!B:B,Item!H:H)</f>
        <v>传说</v>
      </c>
      <c r="F9">
        <v>0.9</v>
      </c>
      <c r="G9" t="s">
        <v>893</v>
      </c>
      <c r="H9" t="s">
        <v>894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892</v>
      </c>
      <c r="E10" t="str">
        <f>LOOKUP(B10,Item!B:B,Item!H:H)</f>
        <v>传说</v>
      </c>
      <c r="F10">
        <v>0.8</v>
      </c>
      <c r="G10" t="s">
        <v>893</v>
      </c>
      <c r="H10" t="s">
        <v>894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892</v>
      </c>
      <c r="E11" t="str">
        <f>LOOKUP(B11,Item!B:B,Item!H:H)</f>
        <v>传说</v>
      </c>
      <c r="F11">
        <v>0.8</v>
      </c>
      <c r="G11" t="s">
        <v>893</v>
      </c>
      <c r="H11" t="s">
        <v>894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892</v>
      </c>
      <c r="E12" t="str">
        <f>LOOKUP(B12,Item!B:B,Item!H:H)</f>
        <v>传说</v>
      </c>
      <c r="F12">
        <v>0.8</v>
      </c>
      <c r="G12" t="s">
        <v>893</v>
      </c>
      <c r="H12" t="s">
        <v>894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892</v>
      </c>
      <c r="E13" t="str">
        <f>LOOKUP(B13,Item!B:B,Item!H:H)</f>
        <v>传说</v>
      </c>
      <c r="F13">
        <v>0.9</v>
      </c>
      <c r="G13" t="s">
        <v>893</v>
      </c>
      <c r="H13" t="s">
        <v>894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892</v>
      </c>
      <c r="E14" t="str">
        <f>LOOKUP(B14,Item!B:B,Item!H:H)</f>
        <v>传说</v>
      </c>
      <c r="F14">
        <v>0.7</v>
      </c>
      <c r="G14" t="s">
        <v>893</v>
      </c>
      <c r="H14" t="s">
        <v>894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892</v>
      </c>
      <c r="E15" t="str">
        <f>LOOKUP(B15,Item!B:B,Item!H:H)</f>
        <v>传说</v>
      </c>
      <c r="F15">
        <v>0.9</v>
      </c>
      <c r="G15" t="s">
        <v>893</v>
      </c>
      <c r="H15" t="s">
        <v>894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892</v>
      </c>
      <c r="E16" t="str">
        <f>LOOKUP(B16,Item!B:B,Item!H:H)</f>
        <v>传说</v>
      </c>
      <c r="F16">
        <v>1</v>
      </c>
      <c r="G16" t="s">
        <v>893</v>
      </c>
      <c r="H16" t="s">
        <v>894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895</v>
      </c>
      <c r="D1" t="s">
        <v>896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897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898</v>
      </c>
      <c r="E3" t="s">
        <v>899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900</v>
      </c>
      <c r="D5" t="s">
        <v>134</v>
      </c>
      <c r="E5">
        <v>2</v>
      </c>
    </row>
    <row r="6" spans="1:5">
      <c r="A6" t="s">
        <v>39</v>
      </c>
      <c r="B6">
        <v>1003</v>
      </c>
      <c r="C6" t="s">
        <v>901</v>
      </c>
      <c r="D6" t="s">
        <v>185</v>
      </c>
      <c r="E6">
        <v>3</v>
      </c>
    </row>
    <row r="7" spans="1:5">
      <c r="B7">
        <v>1004</v>
      </c>
      <c r="C7" t="s">
        <v>902</v>
      </c>
      <c r="D7" t="s">
        <v>389</v>
      </c>
      <c r="E7">
        <v>4</v>
      </c>
    </row>
    <row r="8" spans="1:5">
      <c r="D8" t="s">
        <v>233</v>
      </c>
    </row>
    <row r="9" spans="1:5">
      <c r="D9" t="s">
        <v>496</v>
      </c>
    </row>
    <row r="10" spans="1:5">
      <c r="B10">
        <v>1005</v>
      </c>
      <c r="C10" t="s">
        <v>903</v>
      </c>
      <c r="D10" t="s">
        <v>266</v>
      </c>
      <c r="E10">
        <v>5</v>
      </c>
    </row>
    <row r="11" spans="1:5">
      <c r="D11" t="s">
        <v>312</v>
      </c>
    </row>
    <row r="12" spans="1:5">
      <c r="B12">
        <v>1006</v>
      </c>
      <c r="C12" t="s">
        <v>434</v>
      </c>
      <c r="D12" t="s">
        <v>434</v>
      </c>
      <c r="E12">
        <v>6</v>
      </c>
    </row>
    <row r="13" spans="1:5">
      <c r="D13" t="s">
        <v>482</v>
      </c>
    </row>
    <row r="14" spans="1:5">
      <c r="D14" t="s">
        <v>487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904</v>
      </c>
      <c r="D1" t="s">
        <v>905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906</v>
      </c>
      <c r="D3" t="s">
        <v>907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A7" t="s">
        <v>39</v>
      </c>
      <c r="B7" t="s">
        <v>185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389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312</v>
      </c>
      <c r="C12" t="b">
        <v>0</v>
      </c>
      <c r="D12">
        <v>7004</v>
      </c>
    </row>
    <row r="13" spans="1:4">
      <c r="B13" t="s">
        <v>434</v>
      </c>
      <c r="C13" t="b">
        <v>1</v>
      </c>
    </row>
    <row r="14" spans="1:4">
      <c r="B14" t="s">
        <v>482</v>
      </c>
      <c r="C14" t="b">
        <v>0</v>
      </c>
      <c r="D14">
        <v>10001</v>
      </c>
    </row>
    <row r="15" spans="1:4">
      <c r="B15" t="s">
        <v>487</v>
      </c>
      <c r="C15" t="b">
        <v>0</v>
      </c>
      <c r="D15">
        <v>11002</v>
      </c>
    </row>
    <row r="16" spans="1:4">
      <c r="B16" t="s">
        <v>496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"/>
  <sheetViews>
    <sheetView topLeftCell="J1" workbookViewId="0">
      <selection activeCell="S21" sqref="S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908</v>
      </c>
      <c r="D1" t="s">
        <v>7</v>
      </c>
      <c r="E1" t="s">
        <v>909</v>
      </c>
      <c r="F1" t="s">
        <v>726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919</v>
      </c>
      <c r="Q1" t="s">
        <v>920</v>
      </c>
      <c r="R1" t="s">
        <v>921</v>
      </c>
      <c r="S1" t="s">
        <v>922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923</v>
      </c>
      <c r="M2" t="s">
        <v>924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925</v>
      </c>
      <c r="C3" s="2" t="s">
        <v>926</v>
      </c>
      <c r="D3" s="2" t="s">
        <v>927</v>
      </c>
      <c r="E3" s="2" t="s">
        <v>928</v>
      </c>
      <c r="F3" s="2" t="s">
        <v>929</v>
      </c>
      <c r="G3" s="2" t="s">
        <v>930</v>
      </c>
      <c r="H3" s="2" t="s">
        <v>931</v>
      </c>
      <c r="I3" s="2" t="s">
        <v>932</v>
      </c>
      <c r="J3" s="2" t="s">
        <v>933</v>
      </c>
      <c r="K3" s="2" t="s">
        <v>934</v>
      </c>
      <c r="L3" s="2" t="s">
        <v>935</v>
      </c>
      <c r="M3" s="2" t="s">
        <v>936</v>
      </c>
      <c r="N3" s="2" t="s">
        <v>937</v>
      </c>
      <c r="O3" s="2" t="s">
        <v>938</v>
      </c>
      <c r="P3" s="2" t="s">
        <v>939</v>
      </c>
      <c r="Q3" s="2" t="s">
        <v>940</v>
      </c>
      <c r="R3" s="2" t="s">
        <v>941</v>
      </c>
      <c r="S3" s="2" t="s">
        <v>942</v>
      </c>
    </row>
    <row r="4" spans="1:19">
      <c r="A4" t="s">
        <v>39</v>
      </c>
      <c r="B4" t="s">
        <v>943</v>
      </c>
      <c r="C4" t="s">
        <v>944</v>
      </c>
      <c r="D4" t="s">
        <v>945</v>
      </c>
      <c r="E4" t="s">
        <v>946</v>
      </c>
      <c r="F4" t="s">
        <v>947</v>
      </c>
      <c r="G4" t="s">
        <v>948</v>
      </c>
      <c r="H4" t="s">
        <v>949</v>
      </c>
      <c r="I4" t="s">
        <v>950</v>
      </c>
      <c r="J4" t="s">
        <v>951</v>
      </c>
      <c r="K4" t="s">
        <v>952</v>
      </c>
      <c r="L4" t="s">
        <v>953</v>
      </c>
      <c r="M4" t="s">
        <v>954</v>
      </c>
      <c r="N4" t="s">
        <v>955</v>
      </c>
      <c r="O4" t="s">
        <v>956</v>
      </c>
      <c r="P4" t="s">
        <v>957</v>
      </c>
      <c r="Q4" t="s">
        <v>958</v>
      </c>
      <c r="R4" t="s">
        <v>959</v>
      </c>
      <c r="S4" t="s">
        <v>960</v>
      </c>
    </row>
    <row r="5" spans="1:19">
      <c r="B5">
        <v>1001</v>
      </c>
      <c r="C5" t="s">
        <v>961</v>
      </c>
      <c r="D5">
        <v>30</v>
      </c>
      <c r="E5" t="b">
        <v>0</v>
      </c>
      <c r="F5" t="b">
        <v>0</v>
      </c>
      <c r="G5" t="s">
        <v>962</v>
      </c>
      <c r="H5" t="s">
        <v>963</v>
      </c>
      <c r="I5" t="s">
        <v>964</v>
      </c>
      <c r="J5" t="s">
        <v>965</v>
      </c>
      <c r="K5" t="s">
        <v>966</v>
      </c>
      <c r="L5" t="s">
        <v>967</v>
      </c>
      <c r="M5" t="s">
        <v>968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969</v>
      </c>
      <c r="D6">
        <v>10</v>
      </c>
      <c r="E6" t="b">
        <v>1</v>
      </c>
      <c r="F6" t="b">
        <v>0</v>
      </c>
      <c r="G6" t="s">
        <v>970</v>
      </c>
      <c r="H6" t="s">
        <v>971</v>
      </c>
      <c r="I6" t="s">
        <v>964</v>
      </c>
      <c r="J6" t="s">
        <v>972</v>
      </c>
      <c r="K6" t="s">
        <v>972</v>
      </c>
      <c r="L6" t="s">
        <v>967</v>
      </c>
      <c r="M6" t="s">
        <v>973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974</v>
      </c>
      <c r="D7">
        <v>20</v>
      </c>
      <c r="E7" t="b">
        <v>0</v>
      </c>
      <c r="F7" t="b">
        <v>0</v>
      </c>
      <c r="G7" t="s">
        <v>975</v>
      </c>
      <c r="H7" t="s">
        <v>976</v>
      </c>
      <c r="I7" t="s">
        <v>964</v>
      </c>
      <c r="J7" t="s">
        <v>977</v>
      </c>
      <c r="K7" t="s">
        <v>978</v>
      </c>
      <c r="L7" t="s">
        <v>967</v>
      </c>
      <c r="M7" t="s">
        <v>973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979</v>
      </c>
      <c r="D8">
        <v>40</v>
      </c>
      <c r="E8" t="b">
        <v>0</v>
      </c>
      <c r="F8" t="b">
        <v>0</v>
      </c>
      <c r="G8" t="s">
        <v>980</v>
      </c>
      <c r="H8" t="s">
        <v>981</v>
      </c>
      <c r="I8" t="s">
        <v>964</v>
      </c>
      <c r="J8" t="s">
        <v>982</v>
      </c>
      <c r="K8" t="s">
        <v>982</v>
      </c>
      <c r="L8" t="s">
        <v>967</v>
      </c>
      <c r="M8" t="s">
        <v>968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961</v>
      </c>
      <c r="D9">
        <v>60</v>
      </c>
      <c r="E9" t="b">
        <v>0</v>
      </c>
      <c r="F9" t="b">
        <v>0</v>
      </c>
      <c r="G9" t="s">
        <v>962</v>
      </c>
      <c r="H9" t="s">
        <v>963</v>
      </c>
      <c r="I9" t="s">
        <v>964</v>
      </c>
      <c r="J9" t="s">
        <v>965</v>
      </c>
      <c r="K9" t="s">
        <v>966</v>
      </c>
      <c r="L9" t="s">
        <v>967</v>
      </c>
      <c r="M9" t="s">
        <v>968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969</v>
      </c>
      <c r="D10">
        <v>80</v>
      </c>
      <c r="E10" t="b">
        <v>1</v>
      </c>
      <c r="F10" t="b">
        <v>1</v>
      </c>
      <c r="G10" t="s">
        <v>970</v>
      </c>
      <c r="H10" t="s">
        <v>971</v>
      </c>
      <c r="I10" t="s">
        <v>964</v>
      </c>
      <c r="J10" t="s">
        <v>972</v>
      </c>
      <c r="K10" t="s">
        <v>972</v>
      </c>
      <c r="L10" t="s">
        <v>967</v>
      </c>
      <c r="M10" t="s">
        <v>973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974</v>
      </c>
      <c r="D11">
        <v>100</v>
      </c>
      <c r="E11" t="b">
        <v>0</v>
      </c>
      <c r="F11" t="b">
        <v>1</v>
      </c>
      <c r="G11" t="s">
        <v>975</v>
      </c>
      <c r="H11" t="s">
        <v>976</v>
      </c>
      <c r="I11" t="s">
        <v>964</v>
      </c>
      <c r="J11" t="s">
        <v>977</v>
      </c>
      <c r="K11" t="s">
        <v>978</v>
      </c>
      <c r="L11" t="s">
        <v>967</v>
      </c>
      <c r="M11" t="s">
        <v>973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979</v>
      </c>
      <c r="D12">
        <v>120</v>
      </c>
      <c r="E12" t="b">
        <v>0</v>
      </c>
      <c r="F12" t="b">
        <v>0</v>
      </c>
      <c r="G12" t="s">
        <v>980</v>
      </c>
      <c r="H12" t="s">
        <v>981</v>
      </c>
      <c r="I12" t="s">
        <v>964</v>
      </c>
      <c r="J12" t="s">
        <v>982</v>
      </c>
      <c r="K12" t="s">
        <v>982</v>
      </c>
      <c r="L12" t="s">
        <v>967</v>
      </c>
      <c r="M12" t="s">
        <v>968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961</v>
      </c>
      <c r="D13">
        <v>60</v>
      </c>
      <c r="E13" t="b">
        <v>0</v>
      </c>
      <c r="F13" t="b">
        <v>1</v>
      </c>
      <c r="G13" t="s">
        <v>962</v>
      </c>
      <c r="H13" t="s">
        <v>963</v>
      </c>
      <c r="I13" t="s">
        <v>964</v>
      </c>
      <c r="J13" t="s">
        <v>965</v>
      </c>
      <c r="K13" t="s">
        <v>966</v>
      </c>
      <c r="L13" t="s">
        <v>967</v>
      </c>
      <c r="M13" t="s">
        <v>968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979</v>
      </c>
      <c r="D14">
        <v>120</v>
      </c>
      <c r="E14" t="b">
        <v>0</v>
      </c>
      <c r="F14" t="b">
        <v>0</v>
      </c>
      <c r="G14" t="s">
        <v>980</v>
      </c>
      <c r="H14" t="s">
        <v>981</v>
      </c>
      <c r="I14" t="s">
        <v>964</v>
      </c>
      <c r="J14" t="s">
        <v>982</v>
      </c>
      <c r="K14" t="s">
        <v>982</v>
      </c>
      <c r="L14" t="s">
        <v>967</v>
      </c>
      <c r="M14" t="s">
        <v>968</v>
      </c>
      <c r="N14">
        <v>53001</v>
      </c>
      <c r="O14">
        <v>0</v>
      </c>
      <c r="P14">
        <v>0</v>
      </c>
      <c r="R14">
        <v>501006</v>
      </c>
      <c r="S14">
        <v>601006</v>
      </c>
    </row>
    <row r="15" customFormat="1" spans="1:19">
      <c r="B15">
        <v>1011</v>
      </c>
      <c r="C15" t="s">
        <v>979</v>
      </c>
      <c r="D15">
        <v>120</v>
      </c>
      <c r="E15" t="b">
        <v>0</v>
      </c>
      <c r="F15" t="b">
        <v>1</v>
      </c>
      <c r="G15" t="s">
        <v>980</v>
      </c>
      <c r="H15" t="s">
        <v>981</v>
      </c>
      <c r="I15" t="s">
        <v>964</v>
      </c>
      <c r="J15" t="s">
        <v>982</v>
      </c>
      <c r="K15" t="s">
        <v>982</v>
      </c>
      <c r="L15" t="s">
        <v>967</v>
      </c>
      <c r="M15" t="s">
        <v>968</v>
      </c>
      <c r="N15">
        <v>51001</v>
      </c>
      <c r="O15">
        <v>0</v>
      </c>
      <c r="P15">
        <v>0</v>
      </c>
      <c r="R15">
        <v>501007</v>
      </c>
      <c r="S15">
        <v>601007</v>
      </c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6"/>
  <sheetViews>
    <sheetView topLeftCell="G1" workbookViewId="0">
      <selection activeCell="B59" sqref="B5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908</v>
      </c>
      <c r="E1" t="s">
        <v>983</v>
      </c>
      <c r="F1" t="s">
        <v>2</v>
      </c>
      <c r="G1" t="s">
        <v>984</v>
      </c>
      <c r="H1" t="s">
        <v>985</v>
      </c>
      <c r="I1" t="s">
        <v>986</v>
      </c>
      <c r="J1" t="s">
        <v>987</v>
      </c>
      <c r="K1" t="s">
        <v>988</v>
      </c>
      <c r="L1" t="s">
        <v>989</v>
      </c>
      <c r="M1" t="s">
        <v>990</v>
      </c>
      <c r="N1" t="s">
        <v>991</v>
      </c>
      <c r="O1" t="s">
        <v>992</v>
      </c>
      <c r="P1" t="s">
        <v>726</v>
      </c>
      <c r="Q1" t="s">
        <v>993</v>
      </c>
      <c r="R1" t="s">
        <v>994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995</v>
      </c>
      <c r="C3" s="2" t="s">
        <v>996</v>
      </c>
      <c r="E3" s="2" t="s">
        <v>997</v>
      </c>
      <c r="F3" s="14" t="s">
        <v>998</v>
      </c>
      <c r="G3" s="2" t="s">
        <v>50</v>
      </c>
      <c r="H3" s="15" t="s">
        <v>999</v>
      </c>
      <c r="I3" s="2" t="s">
        <v>1000</v>
      </c>
      <c r="J3" s="2" t="s">
        <v>1001</v>
      </c>
      <c r="K3" s="2" t="s">
        <v>1002</v>
      </c>
      <c r="L3" s="2" t="s">
        <v>1003</v>
      </c>
      <c r="M3" s="2" t="s">
        <v>1004</v>
      </c>
      <c r="N3" s="2" t="s">
        <v>1005</v>
      </c>
      <c r="O3" s="2" t="s">
        <v>1006</v>
      </c>
      <c r="P3" s="2" t="s">
        <v>1007</v>
      </c>
      <c r="Q3" s="2" t="s">
        <v>1008</v>
      </c>
      <c r="R3" s="2" t="s">
        <v>1009</v>
      </c>
    </row>
    <row r="4" spans="1:18">
      <c r="A4" t="s">
        <v>39</v>
      </c>
      <c r="B4" t="s">
        <v>1010</v>
      </c>
      <c r="C4" t="s">
        <v>944</v>
      </c>
      <c r="D4" t="s">
        <v>1011</v>
      </c>
      <c r="E4" t="s">
        <v>1012</v>
      </c>
      <c r="F4" t="s">
        <v>1013</v>
      </c>
      <c r="G4" t="s">
        <v>75</v>
      </c>
      <c r="H4" t="s">
        <v>1014</v>
      </c>
      <c r="I4" t="s">
        <v>1015</v>
      </c>
      <c r="J4" t="s">
        <v>77</v>
      </c>
      <c r="K4" t="s">
        <v>1016</v>
      </c>
      <c r="L4" t="s">
        <v>1017</v>
      </c>
      <c r="M4" t="s">
        <v>1018</v>
      </c>
      <c r="N4" t="s">
        <v>79</v>
      </c>
      <c r="O4" t="s">
        <v>1019</v>
      </c>
      <c r="P4" t="s">
        <v>947</v>
      </c>
      <c r="Q4" t="s">
        <v>1020</v>
      </c>
      <c r="R4" t="s">
        <v>1021</v>
      </c>
    </row>
    <row r="5" spans="1:18">
      <c r="A5" t="s">
        <v>156</v>
      </c>
      <c r="B5">
        <v>401001</v>
      </c>
      <c r="C5" t="s">
        <v>1022</v>
      </c>
      <c r="D5" t="s">
        <v>1023</v>
      </c>
      <c r="E5" t="s">
        <v>92</v>
      </c>
      <c r="F5" t="s">
        <v>1024</v>
      </c>
      <c r="G5" t="s">
        <v>1025</v>
      </c>
      <c r="H5" t="s">
        <v>1026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1027</v>
      </c>
      <c r="D6" t="s">
        <v>1028</v>
      </c>
      <c r="E6" t="s">
        <v>92</v>
      </c>
      <c r="F6" t="s">
        <v>1029</v>
      </c>
      <c r="G6" t="s">
        <v>1030</v>
      </c>
      <c r="H6" t="s">
        <v>1026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1031</v>
      </c>
      <c r="D7" t="s">
        <v>1032</v>
      </c>
      <c r="E7" t="s">
        <v>92</v>
      </c>
      <c r="F7" t="s">
        <v>1033</v>
      </c>
      <c r="G7" t="s">
        <v>1034</v>
      </c>
      <c r="H7" t="s">
        <v>1026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1035</v>
      </c>
      <c r="D8" t="s">
        <v>1036</v>
      </c>
      <c r="E8" t="s">
        <v>92</v>
      </c>
      <c r="F8" t="s">
        <v>1037</v>
      </c>
      <c r="G8" t="s">
        <v>1038</v>
      </c>
      <c r="H8" t="s">
        <v>1026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1039</v>
      </c>
      <c r="D9" t="s">
        <v>1040</v>
      </c>
      <c r="E9" t="s">
        <v>92</v>
      </c>
      <c r="F9" t="s">
        <v>1024</v>
      </c>
      <c r="G9" t="s">
        <v>1025</v>
      </c>
      <c r="H9" t="s">
        <v>1026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1041</v>
      </c>
      <c r="D10" t="s">
        <v>1042</v>
      </c>
      <c r="E10" t="s">
        <v>92</v>
      </c>
      <c r="F10" t="s">
        <v>1029</v>
      </c>
      <c r="G10" t="s">
        <v>1030</v>
      </c>
      <c r="H10" t="s">
        <v>1026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1043</v>
      </c>
      <c r="D11" t="s">
        <v>1044</v>
      </c>
      <c r="E11" t="s">
        <v>92</v>
      </c>
      <c r="F11" t="s">
        <v>1033</v>
      </c>
      <c r="G11" t="s">
        <v>1034</v>
      </c>
      <c r="H11" t="s">
        <v>1026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1045</v>
      </c>
      <c r="D12" t="s">
        <v>1046</v>
      </c>
      <c r="E12" t="s">
        <v>92</v>
      </c>
      <c r="F12" t="s">
        <v>1037</v>
      </c>
      <c r="G12" t="s">
        <v>1038</v>
      </c>
      <c r="H12" t="s">
        <v>1026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1047</v>
      </c>
    </row>
    <row r="14" spans="1:18">
      <c r="A14" t="s">
        <v>156</v>
      </c>
      <c r="B14">
        <v>402001</v>
      </c>
      <c r="C14" t="s">
        <v>1048</v>
      </c>
      <c r="D14" t="s">
        <v>1049</v>
      </c>
      <c r="E14" t="s">
        <v>92</v>
      </c>
      <c r="F14" t="s">
        <v>1050</v>
      </c>
      <c r="G14" t="s">
        <v>1051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1052</v>
      </c>
      <c r="D15" t="s">
        <v>1053</v>
      </c>
      <c r="E15" t="s">
        <v>92</v>
      </c>
      <c r="F15" t="s">
        <v>1054</v>
      </c>
      <c r="G15" t="s">
        <v>1055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1056</v>
      </c>
      <c r="D16" t="s">
        <v>1057</v>
      </c>
      <c r="E16" t="s">
        <v>92</v>
      </c>
      <c r="F16" t="s">
        <v>1058</v>
      </c>
      <c r="G16" t="s">
        <v>1059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1060</v>
      </c>
    </row>
    <row r="18" spans="1:18">
      <c r="A18" t="s">
        <v>156</v>
      </c>
      <c r="B18">
        <v>403001</v>
      </c>
      <c r="C18" t="s">
        <v>1061</v>
      </c>
      <c r="D18" t="s">
        <v>1062</v>
      </c>
      <c r="E18" t="s">
        <v>1063</v>
      </c>
      <c r="F18" t="s">
        <v>1064</v>
      </c>
      <c r="G18" t="s">
        <v>1065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1066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1067</v>
      </c>
      <c r="D19" t="s">
        <v>1068</v>
      </c>
      <c r="E19" t="s">
        <v>1063</v>
      </c>
      <c r="F19" t="s">
        <v>1069</v>
      </c>
      <c r="G19" t="s">
        <v>1070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1071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1072</v>
      </c>
      <c r="D20" t="s">
        <v>1073</v>
      </c>
      <c r="E20" t="s">
        <v>1063</v>
      </c>
      <c r="F20" t="s">
        <v>1074</v>
      </c>
      <c r="G20" t="s">
        <v>1075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1071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1076</v>
      </c>
    </row>
    <row r="22" spans="1:18">
      <c r="B22">
        <v>404001</v>
      </c>
      <c r="C22" t="s">
        <v>1077</v>
      </c>
      <c r="D22" t="s">
        <v>1078</v>
      </c>
      <c r="E22" t="s">
        <v>707</v>
      </c>
      <c r="F22" t="s">
        <v>1079</v>
      </c>
      <c r="G22" t="s">
        <v>1080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1081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1082</v>
      </c>
      <c r="D23" t="s">
        <v>1083</v>
      </c>
      <c r="E23" t="s">
        <v>707</v>
      </c>
      <c r="F23" t="s">
        <v>1084</v>
      </c>
      <c r="G23" t="s">
        <v>1085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1086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1087</v>
      </c>
      <c r="D24" t="s">
        <v>1088</v>
      </c>
      <c r="E24" t="s">
        <v>707</v>
      </c>
      <c r="F24" t="s">
        <v>1089</v>
      </c>
      <c r="G24" t="s">
        <v>1090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1091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1092</v>
      </c>
      <c r="D25" t="s">
        <v>1093</v>
      </c>
      <c r="E25" t="s">
        <v>707</v>
      </c>
      <c r="F25" t="s">
        <v>1094</v>
      </c>
      <c r="G25" t="s">
        <v>1095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1086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1096</v>
      </c>
      <c r="D26" t="s">
        <v>1097</v>
      </c>
      <c r="E26" t="s">
        <v>707</v>
      </c>
      <c r="F26" t="s">
        <v>1098</v>
      </c>
      <c r="G26" t="s">
        <v>1099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1091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1100</v>
      </c>
      <c r="D27" t="s">
        <v>1101</v>
      </c>
      <c r="E27" t="s">
        <v>707</v>
      </c>
      <c r="F27" t="s">
        <v>1102</v>
      </c>
      <c r="G27" t="s">
        <v>1103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1086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1104</v>
      </c>
      <c r="D28" t="s">
        <v>1105</v>
      </c>
      <c r="E28" t="s">
        <v>707</v>
      </c>
      <c r="F28" t="s">
        <v>1106</v>
      </c>
      <c r="G28" t="s">
        <v>1107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1091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1108</v>
      </c>
      <c r="D29" t="s">
        <v>1109</v>
      </c>
      <c r="E29" t="s">
        <v>707</v>
      </c>
      <c r="F29" t="s">
        <v>1110</v>
      </c>
      <c r="G29" t="s">
        <v>1111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1086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1112</v>
      </c>
      <c r="D30" t="s">
        <v>1113</v>
      </c>
      <c r="E30" t="s">
        <v>707</v>
      </c>
      <c r="F30" t="s">
        <v>1114</v>
      </c>
      <c r="G30" t="s">
        <v>1115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1091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1116</v>
      </c>
    </row>
    <row r="32" spans="1:18">
      <c r="B32">
        <v>405001</v>
      </c>
      <c r="C32" t="s">
        <v>1117</v>
      </c>
      <c r="D32" t="s">
        <v>1118</v>
      </c>
      <c r="E32" t="s">
        <v>707</v>
      </c>
      <c r="F32" t="s">
        <v>1119</v>
      </c>
      <c r="G32" t="s">
        <v>1120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1091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1121</v>
      </c>
    </row>
    <row r="34" spans="1:18">
      <c r="B34">
        <v>406005</v>
      </c>
      <c r="C34" t="s">
        <v>1122</v>
      </c>
      <c r="D34" t="s">
        <v>1123</v>
      </c>
      <c r="E34" t="s">
        <v>992</v>
      </c>
      <c r="F34" t="s">
        <v>1124</v>
      </c>
      <c r="G34" t="s">
        <v>1125</v>
      </c>
      <c r="H34" t="s">
        <v>1026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1126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1127</v>
      </c>
      <c r="D35" t="s">
        <v>1128</v>
      </c>
      <c r="E35" t="s">
        <v>992</v>
      </c>
      <c r="F35" t="s">
        <v>1129</v>
      </c>
      <c r="G35" t="s">
        <v>1130</v>
      </c>
      <c r="H35" t="s">
        <v>1026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1131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1132</v>
      </c>
      <c r="D36" t="s">
        <v>1133</v>
      </c>
      <c r="E36" t="s">
        <v>992</v>
      </c>
      <c r="F36" t="s">
        <v>1134</v>
      </c>
      <c r="G36" t="s">
        <v>1135</v>
      </c>
      <c r="H36" t="s">
        <v>1026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1136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1137</v>
      </c>
      <c r="D37" t="s">
        <v>1138</v>
      </c>
      <c r="E37" t="s">
        <v>992</v>
      </c>
      <c r="F37" t="s">
        <v>1139</v>
      </c>
      <c r="G37" t="s">
        <v>1140</v>
      </c>
      <c r="H37" t="s">
        <v>1026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1141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1142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1143</v>
      </c>
      <c r="D40" t="s">
        <v>1053</v>
      </c>
      <c r="E40" t="s">
        <v>92</v>
      </c>
      <c r="F40" t="s">
        <v>1054</v>
      </c>
      <c r="G40" t="s">
        <v>1055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1144</v>
      </c>
      <c r="D41" t="s">
        <v>1057</v>
      </c>
      <c r="E41" t="s">
        <v>92</v>
      </c>
      <c r="F41" t="s">
        <v>1058</v>
      </c>
      <c r="G41" t="s">
        <v>1059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1145</v>
      </c>
      <c r="D42" t="s">
        <v>1049</v>
      </c>
      <c r="E42" t="s">
        <v>92</v>
      </c>
      <c r="F42" t="s">
        <v>1050</v>
      </c>
      <c r="G42" t="s">
        <v>1051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1146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1147</v>
      </c>
      <c r="D44" t="s">
        <v>1068</v>
      </c>
      <c r="E44" t="s">
        <v>1063</v>
      </c>
      <c r="F44" t="s">
        <v>1069</v>
      </c>
      <c r="G44" t="s">
        <v>1070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1071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1148</v>
      </c>
      <c r="D45" t="s">
        <v>1073</v>
      </c>
      <c r="E45" t="s">
        <v>1063</v>
      </c>
      <c r="F45" t="s">
        <v>1074</v>
      </c>
      <c r="G45" t="s">
        <v>1075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1071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1149</v>
      </c>
    </row>
    <row r="47" spans="1:18">
      <c r="B47">
        <v>500005</v>
      </c>
      <c r="C47" t="s">
        <v>1150</v>
      </c>
      <c r="D47" t="s">
        <v>1151</v>
      </c>
      <c r="E47" t="s">
        <v>92</v>
      </c>
      <c r="F47" t="s">
        <v>1152</v>
      </c>
      <c r="G47" t="s">
        <v>1153</v>
      </c>
      <c r="H47" t="s">
        <v>1026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1154</v>
      </c>
      <c r="D48" t="s">
        <v>1155</v>
      </c>
      <c r="E48" t="s">
        <v>92</v>
      </c>
      <c r="F48" t="s">
        <v>1156</v>
      </c>
      <c r="G48" t="s">
        <v>1157</v>
      </c>
      <c r="H48" t="s">
        <v>1026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1158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1159</v>
      </c>
      <c r="D50" t="s">
        <v>1160</v>
      </c>
      <c r="E50" t="s">
        <v>92</v>
      </c>
      <c r="F50" t="s">
        <v>1024</v>
      </c>
      <c r="G50" t="s">
        <v>1025</v>
      </c>
      <c r="H50" t="s">
        <v>1026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1161</v>
      </c>
      <c r="D51" t="s">
        <v>1162</v>
      </c>
      <c r="E51" t="s">
        <v>92</v>
      </c>
      <c r="F51" t="s">
        <v>1029</v>
      </c>
      <c r="G51" t="s">
        <v>1030</v>
      </c>
      <c r="H51" t="s">
        <v>1026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1163</v>
      </c>
      <c r="D52" t="s">
        <v>1164</v>
      </c>
      <c r="E52" t="s">
        <v>92</v>
      </c>
      <c r="F52" t="s">
        <v>1033</v>
      </c>
      <c r="G52" t="s">
        <v>1034</v>
      </c>
      <c r="H52" t="s">
        <v>1026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1165</v>
      </c>
      <c r="D53" t="s">
        <v>1166</v>
      </c>
      <c r="E53" t="s">
        <v>92</v>
      </c>
      <c r="F53" t="s">
        <v>1037</v>
      </c>
      <c r="G53" t="s">
        <v>1038</v>
      </c>
      <c r="H53" t="s">
        <v>1026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customFormat="1" spans="1:18">
      <c r="A54" t="s">
        <v>156</v>
      </c>
      <c r="B54">
        <v>501005</v>
      </c>
      <c r="C54" t="s">
        <v>1167</v>
      </c>
      <c r="D54" t="s">
        <v>1160</v>
      </c>
      <c r="E54" t="s">
        <v>92</v>
      </c>
      <c r="F54" t="s">
        <v>1024</v>
      </c>
      <c r="G54" t="s">
        <v>1025</v>
      </c>
      <c r="H54" t="s">
        <v>1026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156</v>
      </c>
      <c r="P54" t="b">
        <v>1</v>
      </c>
      <c r="Q54" t="b">
        <v>0</v>
      </c>
      <c r="R54">
        <v>0</v>
      </c>
    </row>
    <row r="55" customFormat="1" spans="1:18">
      <c r="A55" t="s">
        <v>156</v>
      </c>
      <c r="B55">
        <v>501006</v>
      </c>
      <c r="C55" t="s">
        <v>1168</v>
      </c>
      <c r="D55" t="s">
        <v>1166</v>
      </c>
      <c r="E55" t="s">
        <v>92</v>
      </c>
      <c r="F55" t="s">
        <v>1037</v>
      </c>
      <c r="G55" t="s">
        <v>1038</v>
      </c>
      <c r="H55" t="s">
        <v>1026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156</v>
      </c>
      <c r="P55" t="b">
        <v>1</v>
      </c>
      <c r="Q55" t="b">
        <v>0</v>
      </c>
      <c r="R55">
        <v>0</v>
      </c>
    </row>
    <row r="56" customFormat="1" spans="1:18">
      <c r="A56" t="s">
        <v>156</v>
      </c>
      <c r="B56">
        <v>501007</v>
      </c>
      <c r="C56" t="s">
        <v>1169</v>
      </c>
      <c r="D56" t="s">
        <v>1166</v>
      </c>
      <c r="E56" t="s">
        <v>92</v>
      </c>
      <c r="F56" t="s">
        <v>1037</v>
      </c>
      <c r="G56" t="s">
        <v>1038</v>
      </c>
      <c r="H56" t="s">
        <v>1026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156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1170</v>
      </c>
      <c r="C57" t="s">
        <v>156</v>
      </c>
      <c r="D57" t="s">
        <v>156</v>
      </c>
      <c r="E57" t="s">
        <v>156</v>
      </c>
      <c r="F57" t="s">
        <v>156</v>
      </c>
      <c r="G57" t="s">
        <v>156</v>
      </c>
      <c r="H57" t="s">
        <v>156</v>
      </c>
      <c r="I57" t="s">
        <v>156</v>
      </c>
      <c r="J57" t="s">
        <v>156</v>
      </c>
      <c r="K57" t="s">
        <v>156</v>
      </c>
      <c r="L57" t="s">
        <v>156</v>
      </c>
      <c r="M57" t="s">
        <v>156</v>
      </c>
      <c r="N57" t="s">
        <v>156</v>
      </c>
      <c r="O57" t="s">
        <v>156</v>
      </c>
      <c r="P57" t="s">
        <v>156</v>
      </c>
      <c r="Q57" t="s">
        <v>156</v>
      </c>
      <c r="R57" t="s">
        <v>156</v>
      </c>
    </row>
    <row r="58" spans="1:18">
      <c r="A58" t="s">
        <v>156</v>
      </c>
      <c r="B58">
        <v>601001</v>
      </c>
      <c r="C58" t="s">
        <v>1171</v>
      </c>
      <c r="D58" t="s">
        <v>1123</v>
      </c>
      <c r="E58" t="s">
        <v>992</v>
      </c>
      <c r="F58" t="s">
        <v>1124</v>
      </c>
      <c r="G58" t="s">
        <v>1125</v>
      </c>
      <c r="H58" t="s">
        <v>1026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1172</v>
      </c>
      <c r="P58" t="b">
        <v>1</v>
      </c>
      <c r="Q58" t="b">
        <v>0</v>
      </c>
      <c r="R58">
        <v>0</v>
      </c>
    </row>
    <row r="59" spans="1:18">
      <c r="A59" t="s">
        <v>156</v>
      </c>
      <c r="B59">
        <v>601002</v>
      </c>
      <c r="C59" t="s">
        <v>1173</v>
      </c>
      <c r="D59" t="s">
        <v>1128</v>
      </c>
      <c r="E59" t="s">
        <v>992</v>
      </c>
      <c r="F59" t="s">
        <v>1129</v>
      </c>
      <c r="G59" t="s">
        <v>1130</v>
      </c>
      <c r="H59" t="s">
        <v>1026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1174</v>
      </c>
      <c r="P59" t="b">
        <v>1</v>
      </c>
      <c r="Q59" t="b">
        <v>0</v>
      </c>
      <c r="R59">
        <v>0</v>
      </c>
    </row>
    <row r="60" spans="1:18">
      <c r="A60" t="s">
        <v>156</v>
      </c>
      <c r="B60">
        <v>601003</v>
      </c>
      <c r="C60" t="s">
        <v>1175</v>
      </c>
      <c r="D60" t="s">
        <v>1133</v>
      </c>
      <c r="E60" t="s">
        <v>992</v>
      </c>
      <c r="F60" t="s">
        <v>1134</v>
      </c>
      <c r="G60" t="s">
        <v>1135</v>
      </c>
      <c r="H60" t="s">
        <v>1026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1176</v>
      </c>
      <c r="P60" t="b">
        <v>1</v>
      </c>
      <c r="Q60" t="b">
        <v>0</v>
      </c>
      <c r="R60">
        <v>0</v>
      </c>
    </row>
    <row r="61" spans="1:18">
      <c r="A61" t="s">
        <v>156</v>
      </c>
      <c r="B61">
        <v>601004</v>
      </c>
      <c r="C61" t="s">
        <v>1177</v>
      </c>
      <c r="D61" t="s">
        <v>1138</v>
      </c>
      <c r="E61" t="s">
        <v>992</v>
      </c>
      <c r="F61" t="s">
        <v>1139</v>
      </c>
      <c r="G61" t="s">
        <v>1140</v>
      </c>
      <c r="H61" t="s">
        <v>1026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1178</v>
      </c>
      <c r="P61" t="b">
        <v>1</v>
      </c>
      <c r="Q61" t="b">
        <v>0</v>
      </c>
      <c r="R61">
        <v>0</v>
      </c>
    </row>
    <row r="62" customFormat="1" spans="1:18">
      <c r="A62" t="s">
        <v>156</v>
      </c>
      <c r="B62">
        <v>601005</v>
      </c>
      <c r="C62" t="s">
        <v>1179</v>
      </c>
      <c r="D62" t="s">
        <v>1123</v>
      </c>
      <c r="E62" t="s">
        <v>992</v>
      </c>
      <c r="F62" t="s">
        <v>1124</v>
      </c>
      <c r="G62" t="s">
        <v>1125</v>
      </c>
      <c r="H62" t="s">
        <v>1026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1180</v>
      </c>
      <c r="P62" t="b">
        <v>1</v>
      </c>
      <c r="Q62" t="b">
        <v>0</v>
      </c>
      <c r="R62">
        <v>0</v>
      </c>
    </row>
    <row r="63" customFormat="1" spans="1:18">
      <c r="A63" t="s">
        <v>156</v>
      </c>
      <c r="B63">
        <v>601006</v>
      </c>
      <c r="C63" t="s">
        <v>1181</v>
      </c>
      <c r="D63" t="s">
        <v>1138</v>
      </c>
      <c r="E63" t="s">
        <v>992</v>
      </c>
      <c r="F63" t="s">
        <v>1139</v>
      </c>
      <c r="G63" t="s">
        <v>1140</v>
      </c>
      <c r="H63" t="s">
        <v>1026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1182</v>
      </c>
      <c r="P63" t="b">
        <v>1</v>
      </c>
      <c r="Q63" t="b">
        <v>0</v>
      </c>
      <c r="R63">
        <v>0</v>
      </c>
    </row>
    <row r="64" customFormat="1" spans="1:18">
      <c r="A64" t="s">
        <v>156</v>
      </c>
      <c r="B64">
        <v>601007</v>
      </c>
      <c r="C64" t="s">
        <v>1183</v>
      </c>
      <c r="D64" t="s">
        <v>1138</v>
      </c>
      <c r="E64" t="s">
        <v>992</v>
      </c>
      <c r="F64" t="s">
        <v>1139</v>
      </c>
      <c r="G64" t="s">
        <v>1140</v>
      </c>
      <c r="H64" t="s">
        <v>1026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1184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1185</v>
      </c>
      <c r="C65" t="s">
        <v>156</v>
      </c>
      <c r="D65" t="s">
        <v>156</v>
      </c>
      <c r="E65" t="s">
        <v>156</v>
      </c>
      <c r="F65" t="s">
        <v>156</v>
      </c>
      <c r="G65" t="s">
        <v>156</v>
      </c>
      <c r="H65" t="s">
        <v>156</v>
      </c>
      <c r="I65" t="s">
        <v>156</v>
      </c>
      <c r="J65" t="s">
        <v>156</v>
      </c>
      <c r="K65" t="s">
        <v>156</v>
      </c>
      <c r="L65" t="s">
        <v>156</v>
      </c>
      <c r="M65" t="s">
        <v>156</v>
      </c>
      <c r="N65" t="s">
        <v>156</v>
      </c>
      <c r="O65" t="s">
        <v>156</v>
      </c>
      <c r="P65" t="s">
        <v>156</v>
      </c>
      <c r="Q65" t="s">
        <v>156</v>
      </c>
      <c r="R65" t="s">
        <v>156</v>
      </c>
    </row>
    <row r="66" spans="1:18">
      <c r="A66" t="s">
        <v>156</v>
      </c>
      <c r="B66">
        <v>700001</v>
      </c>
      <c r="C66" t="s">
        <v>1186</v>
      </c>
      <c r="D66" t="s">
        <v>1187</v>
      </c>
      <c r="E66" t="s">
        <v>707</v>
      </c>
      <c r="F66" t="s">
        <v>1188</v>
      </c>
      <c r="G66" t="s">
        <v>1189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1190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700002</v>
      </c>
      <c r="C67" t="s">
        <v>1191</v>
      </c>
      <c r="D67" t="s">
        <v>1192</v>
      </c>
      <c r="E67" t="s">
        <v>707</v>
      </c>
      <c r="F67" t="s">
        <v>1193</v>
      </c>
      <c r="G67" t="s">
        <v>1194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1195</v>
      </c>
      <c r="P67" t="b">
        <v>1</v>
      </c>
      <c r="Q67" t="b">
        <v>1</v>
      </c>
      <c r="R67">
        <v>0</v>
      </c>
    </row>
    <row r="68" spans="1:18">
      <c r="A68" t="s">
        <v>156</v>
      </c>
      <c r="B68">
        <v>700004</v>
      </c>
      <c r="C68" t="s">
        <v>1196</v>
      </c>
      <c r="D68" t="s">
        <v>1197</v>
      </c>
      <c r="E68" t="s">
        <v>707</v>
      </c>
      <c r="F68" t="s">
        <v>1198</v>
      </c>
      <c r="G68" t="s">
        <v>1199</v>
      </c>
      <c r="H68" t="s">
        <v>156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1200</v>
      </c>
      <c r="P68" t="b">
        <v>1</v>
      </c>
      <c r="Q68" t="b">
        <v>1</v>
      </c>
      <c r="R68">
        <v>0</v>
      </c>
    </row>
    <row r="69" spans="1:18">
      <c r="A69" t="s">
        <v>156</v>
      </c>
      <c r="B69">
        <v>700005</v>
      </c>
      <c r="C69" t="s">
        <v>1201</v>
      </c>
      <c r="D69" t="s">
        <v>1202</v>
      </c>
      <c r="E69" t="s">
        <v>707</v>
      </c>
      <c r="F69" t="s">
        <v>1203</v>
      </c>
      <c r="G69" t="s">
        <v>1204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1195</v>
      </c>
      <c r="P69" t="b">
        <v>1</v>
      </c>
      <c r="Q69" t="b">
        <v>1</v>
      </c>
      <c r="R69">
        <v>0</v>
      </c>
    </row>
    <row r="70" spans="1:18">
      <c r="A70" t="s">
        <v>156</v>
      </c>
      <c r="B70">
        <v>700007</v>
      </c>
      <c r="C70" t="s">
        <v>1205</v>
      </c>
      <c r="D70" t="s">
        <v>1206</v>
      </c>
      <c r="E70" t="s">
        <v>707</v>
      </c>
      <c r="F70" t="s">
        <v>1207</v>
      </c>
      <c r="G70" t="s">
        <v>1208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1200</v>
      </c>
      <c r="P70" t="b">
        <v>1</v>
      </c>
      <c r="Q70" t="b">
        <v>1</v>
      </c>
      <c r="R70">
        <v>0</v>
      </c>
    </row>
    <row r="71" spans="1:18">
      <c r="A71" t="s">
        <v>156</v>
      </c>
      <c r="B71">
        <v>700008</v>
      </c>
      <c r="C71" t="s">
        <v>1209</v>
      </c>
      <c r="D71" t="s">
        <v>1210</v>
      </c>
      <c r="E71" t="s">
        <v>707</v>
      </c>
      <c r="F71" t="s">
        <v>1211</v>
      </c>
      <c r="G71" t="s">
        <v>1212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1195</v>
      </c>
      <c r="P71" t="b">
        <v>1</v>
      </c>
      <c r="Q71" t="b">
        <v>1</v>
      </c>
      <c r="R71">
        <v>0</v>
      </c>
    </row>
    <row r="72" spans="1:18">
      <c r="A72" t="s">
        <v>156</v>
      </c>
      <c r="B72">
        <v>700010</v>
      </c>
      <c r="C72" t="s">
        <v>1213</v>
      </c>
      <c r="D72" t="s">
        <v>1214</v>
      </c>
      <c r="E72" t="s">
        <v>707</v>
      </c>
      <c r="F72" t="s">
        <v>1215</v>
      </c>
      <c r="G72" t="s">
        <v>1216</v>
      </c>
      <c r="H72" t="s">
        <v>156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1200</v>
      </c>
      <c r="P72" t="b">
        <v>1</v>
      </c>
      <c r="Q72" t="b">
        <v>1</v>
      </c>
      <c r="R72">
        <v>0</v>
      </c>
    </row>
    <row r="73" spans="1:18">
      <c r="A73" t="s">
        <v>156</v>
      </c>
      <c r="B73">
        <v>700011</v>
      </c>
      <c r="C73" t="s">
        <v>1217</v>
      </c>
      <c r="D73" t="s">
        <v>1218</v>
      </c>
      <c r="E73" t="s">
        <v>707</v>
      </c>
      <c r="F73" t="s">
        <v>1219</v>
      </c>
      <c r="G73" t="s">
        <v>1220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1195</v>
      </c>
      <c r="P73" t="b">
        <v>1</v>
      </c>
      <c r="Q73" t="b">
        <v>1</v>
      </c>
      <c r="R73">
        <v>0</v>
      </c>
    </row>
    <row r="74" spans="1:18">
      <c r="A74" t="s">
        <v>39</v>
      </c>
      <c r="B74" t="s">
        <v>1221</v>
      </c>
    </row>
    <row r="75" spans="1:18">
      <c r="B75">
        <v>700101</v>
      </c>
      <c r="C75" t="s">
        <v>1222</v>
      </c>
      <c r="D75" t="s">
        <v>1223</v>
      </c>
      <c r="E75" t="s">
        <v>707</v>
      </c>
      <c r="F75" t="s">
        <v>1224</v>
      </c>
      <c r="G75" t="s">
        <v>1225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1226</v>
      </c>
      <c r="P75" t="b">
        <v>1</v>
      </c>
      <c r="Q75" t="b">
        <v>0</v>
      </c>
      <c r="R75">
        <v>0</v>
      </c>
    </row>
    <row r="76" spans="1:18">
      <c r="B76">
        <v>700102</v>
      </c>
      <c r="C76" t="s">
        <v>1227</v>
      </c>
      <c r="D76" t="s">
        <v>1228</v>
      </c>
      <c r="E76" t="s">
        <v>707</v>
      </c>
      <c r="F76" t="s">
        <v>1229</v>
      </c>
      <c r="G76" t="s">
        <v>1230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1231</v>
      </c>
      <c r="P76" t="b">
        <v>1</v>
      </c>
      <c r="Q76" t="b">
        <v>0</v>
      </c>
      <c r="R76">
        <v>0</v>
      </c>
    </row>
    <row r="77" spans="1:18">
      <c r="B77">
        <v>700104</v>
      </c>
      <c r="C77" t="s">
        <v>1232</v>
      </c>
      <c r="D77" t="s">
        <v>1233</v>
      </c>
      <c r="E77" t="s">
        <v>707</v>
      </c>
      <c r="F77" t="s">
        <v>1234</v>
      </c>
      <c r="G77" t="s">
        <v>1235</v>
      </c>
      <c r="H77" t="s">
        <v>156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1226</v>
      </c>
      <c r="P77" t="b">
        <v>1</v>
      </c>
      <c r="Q77" t="b">
        <v>0</v>
      </c>
      <c r="R77">
        <v>0</v>
      </c>
    </row>
    <row r="78" spans="1:18">
      <c r="B78">
        <v>700105</v>
      </c>
      <c r="C78" t="s">
        <v>1236</v>
      </c>
      <c r="D78" t="s">
        <v>1237</v>
      </c>
      <c r="E78" t="s">
        <v>707</v>
      </c>
      <c r="F78" t="s">
        <v>1238</v>
      </c>
      <c r="G78" t="s">
        <v>1239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1231</v>
      </c>
      <c r="P78" t="b">
        <v>1</v>
      </c>
      <c r="Q78" t="b">
        <v>0</v>
      </c>
      <c r="R78">
        <v>0</v>
      </c>
    </row>
    <row r="79" spans="1:18">
      <c r="B79">
        <v>700107</v>
      </c>
      <c r="C79" t="s">
        <v>1240</v>
      </c>
      <c r="D79" t="s">
        <v>1241</v>
      </c>
      <c r="E79" t="s">
        <v>707</v>
      </c>
      <c r="F79" t="s">
        <v>1242</v>
      </c>
      <c r="G79" t="s">
        <v>1243</v>
      </c>
      <c r="H79" t="s">
        <v>156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1226</v>
      </c>
      <c r="P79" t="b">
        <v>1</v>
      </c>
      <c r="Q79" t="b">
        <v>0</v>
      </c>
      <c r="R79">
        <v>0</v>
      </c>
    </row>
    <row r="80" spans="1:18">
      <c r="B80">
        <v>700108</v>
      </c>
      <c r="C80" t="s">
        <v>1244</v>
      </c>
      <c r="D80" t="s">
        <v>1245</v>
      </c>
      <c r="E80" t="s">
        <v>707</v>
      </c>
      <c r="F80" t="s">
        <v>1246</v>
      </c>
      <c r="G80" t="s">
        <v>1247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1231</v>
      </c>
      <c r="P80" t="b">
        <v>1</v>
      </c>
      <c r="Q80" t="b">
        <v>0</v>
      </c>
      <c r="R80">
        <v>0</v>
      </c>
    </row>
    <row r="81" spans="1:18">
      <c r="B81">
        <v>700110</v>
      </c>
      <c r="C81" t="s">
        <v>1248</v>
      </c>
      <c r="D81" t="s">
        <v>1249</v>
      </c>
      <c r="E81" t="s">
        <v>707</v>
      </c>
      <c r="F81" t="s">
        <v>1250</v>
      </c>
      <c r="G81" t="s">
        <v>1251</v>
      </c>
      <c r="H81" t="s">
        <v>156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1226</v>
      </c>
      <c r="P81" t="b">
        <v>1</v>
      </c>
      <c r="Q81" t="b">
        <v>0</v>
      </c>
      <c r="R81">
        <v>0</v>
      </c>
    </row>
    <row r="82" spans="1:18">
      <c r="B82">
        <v>700111</v>
      </c>
      <c r="C82" t="s">
        <v>1252</v>
      </c>
      <c r="D82" t="s">
        <v>1253</v>
      </c>
      <c r="E82" t="s">
        <v>707</v>
      </c>
      <c r="F82" t="s">
        <v>1254</v>
      </c>
      <c r="G82" t="s">
        <v>1255</v>
      </c>
      <c r="H82" t="s">
        <v>156</v>
      </c>
      <c r="I82" t="b">
        <v>0</v>
      </c>
      <c r="J82" t="b">
        <v>0</v>
      </c>
      <c r="K82" t="b">
        <v>0</v>
      </c>
      <c r="L82" t="b">
        <v>1</v>
      </c>
      <c r="M82" t="b">
        <v>1</v>
      </c>
      <c r="N82" t="b">
        <v>0</v>
      </c>
      <c r="O82" t="s">
        <v>1231</v>
      </c>
      <c r="P82" t="b">
        <v>1</v>
      </c>
      <c r="Q82" t="b">
        <v>0</v>
      </c>
      <c r="R82">
        <v>0</v>
      </c>
    </row>
    <row r="83" spans="1:18">
      <c r="A83" t="s">
        <v>39</v>
      </c>
      <c r="B83" t="s">
        <v>1256</v>
      </c>
      <c r="C83" t="s">
        <v>156</v>
      </c>
      <c r="D83" t="s">
        <v>156</v>
      </c>
      <c r="E83" t="s">
        <v>156</v>
      </c>
      <c r="F83" t="s">
        <v>156</v>
      </c>
      <c r="G83" t="s">
        <v>156</v>
      </c>
      <c r="H83" t="s">
        <v>156</v>
      </c>
      <c r="I83" t="s">
        <v>156</v>
      </c>
      <c r="J83" t="s">
        <v>156</v>
      </c>
      <c r="K83" t="s">
        <v>156</v>
      </c>
      <c r="L83" t="s">
        <v>156</v>
      </c>
      <c r="M83" t="s">
        <v>156</v>
      </c>
      <c r="N83" t="s">
        <v>156</v>
      </c>
      <c r="O83" t="s">
        <v>156</v>
      </c>
      <c r="P83" t="s">
        <v>156</v>
      </c>
      <c r="Q83" t="s">
        <v>156</v>
      </c>
      <c r="R83" t="s">
        <v>156</v>
      </c>
    </row>
    <row r="84" spans="1:18">
      <c r="A84" t="s">
        <v>156</v>
      </c>
      <c r="B84">
        <v>701001</v>
      </c>
      <c r="C84" t="s">
        <v>1257</v>
      </c>
      <c r="D84" t="s">
        <v>1258</v>
      </c>
      <c r="E84" t="s">
        <v>707</v>
      </c>
      <c r="F84" t="s">
        <v>1259</v>
      </c>
      <c r="G84" t="s">
        <v>1120</v>
      </c>
      <c r="H84" t="s">
        <v>156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1200</v>
      </c>
      <c r="P84" t="b">
        <v>1</v>
      </c>
      <c r="Q84" t="b">
        <v>1</v>
      </c>
      <c r="R84">
        <v>0</v>
      </c>
    </row>
    <row r="85" spans="1:18">
      <c r="A85" t="s">
        <v>39</v>
      </c>
      <c r="B85" t="s">
        <v>1260</v>
      </c>
    </row>
    <row r="86" spans="1:18">
      <c r="B86">
        <v>701101</v>
      </c>
      <c r="C86" t="s">
        <v>1261</v>
      </c>
      <c r="D86" t="s">
        <v>1262</v>
      </c>
      <c r="E86" t="s">
        <v>707</v>
      </c>
      <c r="F86" t="s">
        <v>1263</v>
      </c>
      <c r="G86" t="s">
        <v>1264</v>
      </c>
      <c r="H86" t="s">
        <v>156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1226</v>
      </c>
      <c r="P86" t="b">
        <v>1</v>
      </c>
      <c r="Q86" t="b">
        <v>0</v>
      </c>
      <c r="R86">
        <v>0</v>
      </c>
    </row>
  </sheetData>
  <conditionalFormatting sqref="I54">
    <cfRule type="cellIs" dxfId="9" priority="30" operator="equal">
      <formula>TRUE</formula>
    </cfRule>
  </conditionalFormatting>
  <conditionalFormatting sqref="N54">
    <cfRule type="cellIs" dxfId="9" priority="28" operator="equal">
      <formula>TRUE</formula>
    </cfRule>
  </conditionalFormatting>
  <conditionalFormatting sqref="P54">
    <cfRule type="containsText" dxfId="10" priority="26" operator="between" text="FALSE">
      <formula>NOT(ISERROR(SEARCH("FALSE",P54)))</formula>
    </cfRule>
  </conditionalFormatting>
  <conditionalFormatting sqref="Q54">
    <cfRule type="cellIs" dxfId="11" priority="27" operator="equal">
      <formula>TRUE</formula>
    </cfRule>
  </conditionalFormatting>
  <conditionalFormatting sqref="I55">
    <cfRule type="cellIs" dxfId="9" priority="25" operator="equal">
      <formula>TRUE</formula>
    </cfRule>
  </conditionalFormatting>
  <conditionalFormatting sqref="N55">
    <cfRule type="cellIs" dxfId="9" priority="23" operator="equal">
      <formula>TRUE</formula>
    </cfRule>
  </conditionalFormatting>
  <conditionalFormatting sqref="P55">
    <cfRule type="containsText" dxfId="10" priority="21" operator="between" text="FALSE">
      <formula>NOT(ISERROR(SEARCH("FALSE",P55)))</formula>
    </cfRule>
  </conditionalFormatting>
  <conditionalFormatting sqref="Q55">
    <cfRule type="cellIs" dxfId="11" priority="22" operator="equal">
      <formula>TRUE</formula>
    </cfRule>
  </conditionalFormatting>
  <conditionalFormatting sqref="I56">
    <cfRule type="cellIs" dxfId="9" priority="10" operator="equal">
      <formula>TRUE</formula>
    </cfRule>
  </conditionalFormatting>
  <conditionalFormatting sqref="N56">
    <cfRule type="cellIs" dxfId="9" priority="8" operator="equal">
      <formula>TRUE</formula>
    </cfRule>
  </conditionalFormatting>
  <conditionalFormatting sqref="P56">
    <cfRule type="containsText" dxfId="10" priority="6" operator="between" text="FALSE">
      <formula>NOT(ISERROR(SEARCH("FALSE",P56)))</formula>
    </cfRule>
  </conditionalFormatting>
  <conditionalFormatting sqref="Q56">
    <cfRule type="cellIs" dxfId="11" priority="7" operator="equal">
      <formula>TRUE</formula>
    </cfRule>
  </conditionalFormatting>
  <conditionalFormatting sqref="I62">
    <cfRule type="cellIs" dxfId="9" priority="20" operator="equal">
      <formula>TRUE</formula>
    </cfRule>
  </conditionalFormatting>
  <conditionalFormatting sqref="N62">
    <cfRule type="cellIs" dxfId="9" priority="18" operator="equal">
      <formula>TRUE</formula>
    </cfRule>
  </conditionalFormatting>
  <conditionalFormatting sqref="P62">
    <cfRule type="containsText" dxfId="10" priority="16" operator="between" text="FALSE">
      <formula>NOT(ISERROR(SEARCH("FALSE",P62)))</formula>
    </cfRule>
  </conditionalFormatting>
  <conditionalFormatting sqref="Q62">
    <cfRule type="cellIs" dxfId="11" priority="17" operator="equal">
      <formula>TRUE</formula>
    </cfRule>
  </conditionalFormatting>
  <conditionalFormatting sqref="I63">
    <cfRule type="cellIs" dxfId="9" priority="15" operator="equal">
      <formula>TRUE</formula>
    </cfRule>
  </conditionalFormatting>
  <conditionalFormatting sqref="N63">
    <cfRule type="cellIs" dxfId="9" priority="13" operator="equal">
      <formula>TRUE</formula>
    </cfRule>
  </conditionalFormatting>
  <conditionalFormatting sqref="P63">
    <cfRule type="containsText" dxfId="10" priority="11" operator="between" text="FALSE">
      <formula>NOT(ISERROR(SEARCH("FALSE",P63)))</formula>
    </cfRule>
  </conditionalFormatting>
  <conditionalFormatting sqref="Q63">
    <cfRule type="cellIs" dxfId="11" priority="12" operator="equal">
      <formula>TRUE</formula>
    </cfRule>
  </conditionalFormatting>
  <conditionalFormatting sqref="I64">
    <cfRule type="cellIs" dxfId="9" priority="5" operator="equal">
      <formula>TRUE</formula>
    </cfRule>
  </conditionalFormatting>
  <conditionalFormatting sqref="N64">
    <cfRule type="cellIs" dxfId="9" priority="3" operator="equal">
      <formula>TRUE</formula>
    </cfRule>
  </conditionalFormatting>
  <conditionalFormatting sqref="P64">
    <cfRule type="containsText" dxfId="10" priority="1" operator="between" text="FALSE">
      <formula>NOT(ISERROR(SEARCH("FALSE",P64)))</formula>
    </cfRule>
  </conditionalFormatting>
  <conditionalFormatting sqref="Q64">
    <cfRule type="cellIs" dxfId="11" priority="2" operator="equal">
      <formula>TRUE</formula>
    </cfRule>
  </conditionalFormatting>
  <conditionalFormatting sqref="I1:I53 I57:I61 I65:I1048576">
    <cfRule type="cellIs" dxfId="9" priority="35" operator="equal">
      <formula>TRUE</formula>
    </cfRule>
  </conditionalFormatting>
  <conditionalFormatting sqref="N1:N53 N57:N61 N65:N1048576">
    <cfRule type="cellIs" dxfId="9" priority="33" operator="equal">
      <formula>TRUE</formula>
    </cfRule>
  </conditionalFormatting>
  <conditionalFormatting sqref="P1:P53 P57:P61 P65:P1048576">
    <cfRule type="containsText" dxfId="10" priority="31" operator="between" text="FALSE">
      <formula>NOT(ISERROR(SEARCH("FALSE",P1)))</formula>
    </cfRule>
  </conditionalFormatting>
  <conditionalFormatting sqref="Q1:Q53 Q57:Q61 Q65:Q1048576">
    <cfRule type="cellIs" dxfId="11" priority="3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9" operator="containsText" id="{492bdfc6-6f14-4c23-be63-efb0072aae71}">
            <xm:f>NOT(ISERROR(SEARCH(FALSE,L54)))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L54</xm:sqref>
        </x14:conditionalFormatting>
        <x14:conditionalFormatting xmlns:xm="http://schemas.microsoft.com/office/excel/2006/main">
          <x14:cfRule type="containsText" priority="24" operator="containsText" id="{f3b0eb6d-4217-4f3a-91b7-cc3247060438}">
            <xm:f>NOT(ISERROR(SEARCH(FALSE,L55)))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L55</xm:sqref>
        </x14:conditionalFormatting>
        <x14:conditionalFormatting xmlns:xm="http://schemas.microsoft.com/office/excel/2006/main">
          <x14:cfRule type="containsText" priority="9" operator="containsText" id="{4b0da266-b20b-4e17-88cf-6dbb34f1d554}">
            <xm:f>NOT(ISERROR(SEARCH(FALSE,L56)))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L56</xm:sqref>
        </x14:conditionalFormatting>
        <x14:conditionalFormatting xmlns:xm="http://schemas.microsoft.com/office/excel/2006/main">
          <x14:cfRule type="containsText" priority="19" operator="containsText" id="{26ae8bca-2344-42a8-a139-88380e01a1e4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14" operator="containsText" id="{f6593441-897c-4674-8360-2bb3ae266133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4" operator="containsText" id="{4f493935-25aa-4467-a9c8-593d23747005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4" operator="containsText" id="{02ae7f5d-fc05-4192-a509-a6ebdf64e147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L1:L53 L57:L61 L65:L1048576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1265</v>
      </c>
      <c r="D1" t="s">
        <v>1266</v>
      </c>
      <c r="E1" s="1" t="s">
        <v>984</v>
      </c>
      <c r="F1" s="2" t="s">
        <v>1267</v>
      </c>
      <c r="G1" t="s">
        <v>1268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643</v>
      </c>
      <c r="C4" s="5" t="s">
        <v>1269</v>
      </c>
      <c r="D4" s="5" t="s">
        <v>1270</v>
      </c>
      <c r="E4" s="6" t="s">
        <v>1271</v>
      </c>
      <c r="F4" s="7" t="s">
        <v>682</v>
      </c>
      <c r="G4" s="8" t="s">
        <v>684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1272</v>
      </c>
      <c r="F5" s="2" t="s">
        <v>683</v>
      </c>
      <c r="G5" s="5" t="s">
        <v>1273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1274</v>
      </c>
      <c r="F6" s="2" t="s">
        <v>1275</v>
      </c>
      <c r="G6" t="s">
        <v>1276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1277</v>
      </c>
      <c r="F7" s="11" t="s">
        <v>1278</v>
      </c>
      <c r="G7" s="12" t="s">
        <v>1279</v>
      </c>
    </row>
    <row r="8" ht="84" customHeight="1" spans="1:7">
      <c r="B8">
        <v>1003</v>
      </c>
      <c r="C8">
        <v>201000</v>
      </c>
      <c r="D8">
        <v>209999</v>
      </c>
      <c r="E8" s="1" t="s">
        <v>1280</v>
      </c>
      <c r="F8" s="2" t="s">
        <v>1281</v>
      </c>
      <c r="G8" s="5" t="s">
        <v>1282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1283</v>
      </c>
      <c r="F9" s="2" t="s">
        <v>1284</v>
      </c>
      <c r="G9" t="s">
        <v>1285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1286</v>
      </c>
      <c r="F10" s="11" t="s">
        <v>1287</v>
      </c>
      <c r="G10" s="9" t="s">
        <v>1288</v>
      </c>
    </row>
    <row r="11" ht="67" customHeight="1" spans="1:7">
      <c r="B11">
        <v>1005</v>
      </c>
      <c r="C11">
        <v>300000</v>
      </c>
      <c r="D11">
        <v>399999</v>
      </c>
      <c r="E11" s="1" t="s">
        <v>1289</v>
      </c>
      <c r="F11" s="2" t="s">
        <v>1290</v>
      </c>
      <c r="G11" t="s">
        <v>1288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1291</v>
      </c>
      <c r="F12" s="11" t="s">
        <v>1292</v>
      </c>
      <c r="G12" s="9" t="s">
        <v>1293</v>
      </c>
    </row>
    <row r="13" ht="60" customHeight="1" spans="1:7">
      <c r="B13">
        <v>1006</v>
      </c>
      <c r="C13">
        <v>301000</v>
      </c>
      <c r="D13">
        <v>301999</v>
      </c>
      <c r="E13" s="1" t="s">
        <v>1294</v>
      </c>
      <c r="F13" s="2" t="s">
        <v>1295</v>
      </c>
      <c r="G13" t="s">
        <v>1293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1296</v>
      </c>
      <c r="F14" s="2" t="s">
        <v>1297</v>
      </c>
      <c r="G14" t="s">
        <v>1298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1299</v>
      </c>
      <c r="F15" s="2" t="s">
        <v>1300</v>
      </c>
      <c r="G15" t="s">
        <v>1301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1302</v>
      </c>
      <c r="F16" s="2" t="s">
        <v>1303</v>
      </c>
      <c r="G16" t="s">
        <v>1304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1305</v>
      </c>
      <c r="F17" s="2" t="s">
        <v>1306</v>
      </c>
      <c r="G17" t="s">
        <v>1307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1308</v>
      </c>
      <c r="F18" s="2" t="s">
        <v>1309</v>
      </c>
      <c r="G18" t="s">
        <v>1310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1311</v>
      </c>
      <c r="F19" s="2" t="s">
        <v>1312</v>
      </c>
      <c r="G19" t="s">
        <v>1313</v>
      </c>
    </row>
    <row r="20" ht="52.2" spans="1:7">
      <c r="B20">
        <v>1033</v>
      </c>
      <c r="C20">
        <v>500001</v>
      </c>
      <c r="D20">
        <v>500999</v>
      </c>
      <c r="E20" s="6" t="s">
        <v>1314</v>
      </c>
      <c r="F20" s="2" t="s">
        <v>1315</v>
      </c>
      <c r="G20" t="s">
        <v>1316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1317</v>
      </c>
      <c r="F21" s="2" t="s">
        <v>1318</v>
      </c>
      <c r="G21" t="s">
        <v>1319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1320</v>
      </c>
      <c r="F22" s="2" t="s">
        <v>1321</v>
      </c>
      <c r="G22" t="s">
        <v>1322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1323</v>
      </c>
      <c r="F23" s="2" t="s">
        <v>1324</v>
      </c>
      <c r="G23" t="s">
        <v>1325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1326</v>
      </c>
      <c r="F24" s="2" t="s">
        <v>1327</v>
      </c>
      <c r="G24" t="s">
        <v>1328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1329</v>
      </c>
      <c r="F25" s="2" t="s">
        <v>1330</v>
      </c>
      <c r="G25" t="s">
        <v>1331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1332</v>
      </c>
      <c r="F26" s="2" t="s">
        <v>1333</v>
      </c>
      <c r="G26" t="s">
        <v>1334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1335</v>
      </c>
      <c r="F27" s="2" t="s">
        <v>1336</v>
      </c>
      <c r="G27" t="s">
        <v>1337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1338</v>
      </c>
      <c r="F28" s="2" t="s">
        <v>1339</v>
      </c>
      <c r="G28" t="s">
        <v>1340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1341</v>
      </c>
      <c r="F29" s="2" t="s">
        <v>1342</v>
      </c>
      <c r="G29" t="s">
        <v>1343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1344</v>
      </c>
      <c r="F30" s="2" t="s">
        <v>1345</v>
      </c>
      <c r="G30" t="s">
        <v>1346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1347</v>
      </c>
      <c r="F31" s="11" t="s">
        <v>1348</v>
      </c>
      <c r="G31" s="9" t="s">
        <v>1349</v>
      </c>
    </row>
    <row r="32" ht="52.2" spans="1:7">
      <c r="B32">
        <v>1023</v>
      </c>
      <c r="C32">
        <v>700000</v>
      </c>
      <c r="D32">
        <v>700999</v>
      </c>
      <c r="E32" s="6" t="s">
        <v>1350</v>
      </c>
      <c r="F32" s="2" t="s">
        <v>1351</v>
      </c>
      <c r="G32" t="s">
        <v>1352</v>
      </c>
    </row>
    <row r="33" ht="34.8" spans="1:7">
      <c r="B33">
        <v>1029</v>
      </c>
      <c r="C33">
        <v>700000</v>
      </c>
      <c r="D33">
        <v>700099</v>
      </c>
      <c r="E33" s="2" t="s">
        <v>1353</v>
      </c>
      <c r="F33" s="2" t="s">
        <v>1354</v>
      </c>
      <c r="G33" t="s">
        <v>1355</v>
      </c>
    </row>
    <row r="34" ht="34.8" spans="1:7">
      <c r="B34">
        <v>1030</v>
      </c>
      <c r="C34">
        <v>700100</v>
      </c>
      <c r="D34">
        <v>700999</v>
      </c>
      <c r="E34" s="2" t="s">
        <v>1356</v>
      </c>
      <c r="F34" s="2" t="s">
        <v>1357</v>
      </c>
      <c r="G34" t="s">
        <v>1358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1359</v>
      </c>
      <c r="F35" s="11" t="s">
        <v>1360</v>
      </c>
      <c r="G35" s="9" t="s">
        <v>1361</v>
      </c>
    </row>
    <row r="36" ht="71" customHeight="1" spans="1:7">
      <c r="B36">
        <v>1024</v>
      </c>
      <c r="C36">
        <v>701000</v>
      </c>
      <c r="D36">
        <v>701999</v>
      </c>
      <c r="E36" s="6" t="s">
        <v>1362</v>
      </c>
      <c r="F36" s="2" t="s">
        <v>1363</v>
      </c>
      <c r="G36" t="s">
        <v>1364</v>
      </c>
    </row>
    <row r="37" ht="71" customHeight="1" spans="1:7">
      <c r="B37">
        <v>1031</v>
      </c>
      <c r="C37">
        <v>701000</v>
      </c>
      <c r="D37">
        <v>701099</v>
      </c>
      <c r="E37" s="2" t="s">
        <v>1365</v>
      </c>
      <c r="F37" s="2" t="s">
        <v>1366</v>
      </c>
      <c r="G37" t="s">
        <v>1367</v>
      </c>
    </row>
    <row r="38" ht="71" customHeight="1" spans="1:7">
      <c r="B38">
        <v>1032</v>
      </c>
      <c r="C38">
        <v>701100</v>
      </c>
      <c r="D38">
        <v>701999</v>
      </c>
      <c r="E38" s="2" t="s">
        <v>1368</v>
      </c>
      <c r="F38" s="2" t="s">
        <v>1360</v>
      </c>
      <c r="G38" t="s">
        <v>1369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1370</v>
      </c>
      <c r="F39" s="2" t="s">
        <v>1371</v>
      </c>
      <c r="G39" t="s">
        <v>1372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1373</v>
      </c>
      <c r="F40" s="2" t="s">
        <v>1374</v>
      </c>
      <c r="G40" t="s">
        <v>1375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1376</v>
      </c>
      <c r="F41" s="2" t="s">
        <v>1377</v>
      </c>
      <c r="G41" t="s">
        <v>715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1378</v>
      </c>
      <c r="F42" s="2" t="s">
        <v>1379</v>
      </c>
      <c r="G42" t="s">
        <v>1380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2026-08-29T08:50:15Z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