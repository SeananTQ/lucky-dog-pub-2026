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<sst xmlns="http://schemas.openxmlformats.org/spreadsheetml/2006/main" count="2946" uniqueCount="1272">
  <si>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</si>
  <si>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</si>
  <si>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</si>
  <si>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</si>
  <si>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</si>
  <si>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</si>
  <si>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</si>
  <si>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</si>
  <si>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</si>
  <si>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</si>
  <si>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</si>
  <si>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</si>
  <si>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</si>
  <si>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</si>
  <si>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</si>
  <si>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</si>
  <si>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</si>
  <si>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</si>
  <si>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</si>
  <si>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</si>
  <si>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</si>
  <si>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</si>
  <si>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</si>
  <si>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</si>
  <si>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</si>
  <si>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</si>
  <si>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</si>
  <si>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</si>
  <si>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</si>
  <si>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</si>
  <si>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</si>
  <si>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</si>
  <si>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</si>
  <si>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</si>
  <si>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</si>
  <si>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</si>
  <si>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</si>
  <si>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</si>
  <si>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</si>
  <si>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</si>
  <si>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</si>
  <si>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</si>
  <si>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</si>
  <si>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</si>
  <si>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</si>
  <si>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</si>
  <si>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</si>
  <si>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</si>
  <si>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</si>
  <si>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</si>
  <si>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</si>
  <si>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</si>
  <si>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</si>
  <si>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</si>
  <si>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</si>
  <si>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</si>
  <si>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</si>
  <si>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</si>
  <si>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</si>
  <si>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</si>
  <si>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</si>
  <si>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</si>
  <si>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</si>
  <si>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</si>
  <si>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</si>
  <si>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</si>
  <si>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</si>
  <si>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</si>
  <si>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</si>
  <si>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</si>
  <si>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</si>
  <si>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</si>
  <si>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</si>
  <si>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</si>
  <si>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</si>
  <si>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</si>
  <si>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</si>
  <si>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</si>
  <si>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</si>
  <si>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</si>
  <si>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</si>
  <si>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</si>
  <si>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</si>
  <si>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</si>
  <si>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</si>
  <si>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</si>
  <si>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</si>
  <si>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</si>
  <si>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</si>
  <si>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</si>
  <si>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</si>
  <si>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</si>
  <si>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</si>
  <si>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</si>
  <si>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</si>
  <si>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</si>
  <si>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</si>
  <si>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</si>
  <si>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</si>
  <si>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</si>
  <si>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</si>
  <si>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</si>
  <si>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</si>
  <si>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</si>
  <si>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</si>
  <si>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</si>
  <si>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</si>
  <si>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</si>
  <si>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</si>
  <si>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</si>
  <si>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</si>
  <si>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</si>
  <si>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</si>
  <si>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</si>
  <si>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</si>
  <si>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</si>
  <si>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</si>
  <si>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</si>
  <si>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</si>
  <si>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</si>
  <si>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</si>
  <si>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</si>
  <si>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</si>
  <si>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</si>
  <si>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</si>
  <si>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</si>
  <si>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</si>
  <si>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</si>
  <si>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</si>
  <si>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</si>
  <si>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</si>
  <si>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</si>
  <si>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</si>
  <si>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</si>
  <si>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</si>
  <si>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</si>
  <si>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</si>
  <si>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</si>
  <si>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</si>
  <si>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</si>
  <si>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</si>
  <si>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</si>
  <si>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</si>
  <si>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</si>
  <si>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</si>
  <si>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</si>
  <si>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</si>
  <si>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</si>
  <si>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</si>
  <si>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</si>
  <si>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</si>
  <si>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</si>
  <si>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</si>
  <si>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</si>
  <si>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</si>
  <si>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</si>
  <si>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</si>
  <si>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</si>
  <si>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</si>
  <si>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</si>
  <si>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</si>
  <si>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</si>
  <si>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</si>
  <si>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</si>
  <si>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</si>
  <si>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</si>
  <si>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</si>
  <si>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</si>
  <si>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</si>
  <si>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</si>
  <si>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</si>
  <si>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</si>
  <si>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</si>
  <si>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</si>
  <si>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</si>
  <si>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</si>
  <si>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</si>
  <si>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</si>
  <si>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</si>
  <si>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</si>
  <si>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</si>
  <si>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</si>
  <si>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</si>
  <si>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</si>
  <si>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</si>
  <si>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</si>
  <si>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</si>
  <si>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</si>
  <si>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</si>
  <si>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</si>
  <si>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</si>
  <si>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</si>
  <si>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</si>
  <si>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</si>
  <si>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</si>
  <si>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</si>
  <si>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</si>
  <si>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</si>
  <si>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</si>
  <si>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</si>
  <si>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</si>
  <si>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</si>
  <si>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</si>
  <si>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</si>
  <si>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</si>
  <si>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</si>
  <si>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</si>
  <si>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</si>
  <si>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</si>
  <si>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</si>
  <si>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</si>
  <si>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</si>
  <si>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</si>
  <si>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</si>
  <si>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</si>
  <si>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</si>
  <si>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</si>
  <si>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</si>
  <si>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</si>
  <si>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</si>
  <si>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</si>
  <si>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</si>
  <si>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</si>
  <si>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</si>
  <si>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</si>
  <si>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</si>
  <si>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</si>
  <si>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</si>
  <si>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</si>
  <si>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</si>
  <si>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</si>
  <si>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</si>
  <si>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</si>
  <si>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</si>
  <si>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</si>
  <si>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</si>
  <si>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</si>
  <si>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</si>
  <si>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</si>
  <si>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</si>
  <si>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</si>
  <si>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</si>
  <si>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</si>
  <si>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</si>
  <si>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</si>
  <si>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</si>
  <si>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</si>
  <si>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</si>
  <si>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</si>
  <si>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</si>
  <si>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</si>
  <si>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</si>
  <si>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</si>
  <si>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</si>
  <si>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</si>
  <si>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</si>
  <si>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</si>
  <si>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</si>
  <si>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</si>
  <si>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</si>
  <si>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</si>
  <si>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</si>
  <si>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</si>
  <si>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</si>
  <si>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</si>
  <si>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</si>
  <si>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</si>
  <si>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</si>
  <si>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</si>
  <si>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</si>
  <si>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</si>
  <si>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</si>
  <si>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</si>
  <si>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</si>
  <si>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</si>
  <si>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</si>
  <si>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</si>
  <si>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</si>
  <si>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</si>
  <si>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</si>
  <si>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</si>
  <si>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</si>
  <si>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</si>
  <si>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</si>
  <si>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</si>
  <si>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</si>
  <si>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</si>
  <si>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</si>
  <si>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</si>
  <si>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</si>
  <si>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</si>
  <si>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</si>
  <si>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</si>
  <si>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</si>
  <si>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</si>
  <si>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</si>
  <si>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</si>
  <si>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</si>
  <si>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</si>
  <si>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</si>
  <si>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</si>
  <si>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</si>
  <si>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</si>
  <si>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</si>
  <si>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</si>
  <si>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</si>
  <si>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</si>
  <si>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</si>
  <si>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</si>
  <si>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</si>
  <si>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</si>
  <si>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</si>
  <si>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</si>
  <si>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</si>
  <si>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</si>
  <si>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</si>
  <si>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</si>
  <si>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</si>
  <si>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</si>
  <si>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</si>
  <si>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</si>
  <si>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</si>
  <si>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</si>
  <si>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</si>
  <si>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</si>
  <si>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</si>
  <si>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</si>
  <si>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</si>
  <si>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</si>
  <si>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</si>
  <si>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</si>
  <si>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</si>
  <si>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</si>
  <si>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</si>
  <si>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</si>
  <si>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</si>
  <si>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</si>
  <si>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</si>
  <si>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</si>
  <si>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</si>
  <si>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</si>
  <si>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</si>
  <si>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</si>
  <si>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</si>
  <si>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</si>
  <si>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</si>
  <si>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</si>
  <si>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</si>
  <si>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</si>
  <si>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</si>
  <si>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</si>
  <si>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</si>
  <si>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</si>
  <si>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</si>
  <si>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</si>
  <si>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</si>
  <si>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</si>
  <si>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</si>
  <si>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</si>
  <si>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</si>
  <si>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</si>
  <si>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</si>
  <si>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</si>
  <si>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</si>
  <si>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</si>
  <si>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</si>
  <si>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</si>
  <si>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</si>
  <si>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</si>
  <si>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</si>
  <si>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</si>
  <si>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</si>
  <si>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</si>
  <si>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</si>
  <si>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</si>
  <si>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</si>
  <si>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</si>
  <si>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</si>
  <si>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</si>
  <si>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</si>
  <si>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</si>
  <si>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</si>
  <si>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</si>
  <si>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</si>
  <si>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</si>
  <si>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</si>
  <si>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</si>
  <si>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</si>
  <si>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</si>
  <si>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</si>
  <si>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</si>
  <si>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</si>
  <si>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</si>
  <si>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</si>
  <si>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</si>
  <si>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</si>
  <si>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</si>
  <si>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</si>
  <si>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</si>
  <si>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</si>
  <si>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</si>
  <si>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</si>
  <si>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</si>
  <si>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</si>
  <si>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</si>
  <si>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</si>
  <si>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</si>
  <si>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</si>
  <si>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</si>
  <si>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</si>
  <si>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</si>
  <si>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</si>
  <si>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</si>
  <si>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</si>
  <si>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</si>
  <si>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</si>
  <si>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</si>
  <si>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</si>
  <si>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</si>
  <si>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</si>
  <si>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</si>
  <si>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</si>
  <si>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</si>
  <si>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</si>
  <si>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</si>
  <si>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</si>
  <si>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</si>
  <si>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</si>
  <si>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</si>
  <si>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</si>
  <si>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</si>
  <si>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</si>
  <si>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</si>
  <si>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</si>
  <si>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</si>
  <si>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</si>
  <si>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</si>
  <si>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</si>
  <si>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</si>
  <si>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</si>
  <si>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</si>
  <si>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</si>
  <si>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</si>
  <si>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</si>
  <si>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</si>
  <si>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</si>
  <si>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</si>
  <si>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</si>
  <si>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</si>
  <si>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</si>
  <si>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</si>
  <si>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</si>
  <si>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</si>
  <si>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</si>
  <si>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</si>
  <si>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</si>
  <si>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</si>
  <si>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</si>
  <si>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</si>
  <si>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</si>
  <si>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</si>
  <si>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</si>
  <si>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</si>
  <si>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</si>
  <si>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</si>
  <si>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</si>
  <si>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</si>
  <si>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</si>
  <si>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</si>
  <si>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</si>
  <si>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</si>
  <si>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</si>
  <si>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</si>
  <si>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</si>
  <si>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</si>
  <si>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</si>
  <si>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</si>
  <si>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</si>
  <si>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</si>
  <si>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</si>
  <si>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</si>
  <si>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</si>
  <si>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</si>
  <si>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</si>
  <si>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</si>
  <si>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</si>
  <si>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</si>
  <si>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</si>
  <si>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</si>
  <si>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</si>
  <si>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</si>
  <si>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</si>
  <si>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</si>
  <si>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</si>
  <si>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</si>
  <si>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</si>
  <si>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</si>
  <si>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</si>
  <si>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</si>
  <si>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</si>
  <si>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</si>
  <si>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</si>
  <si>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</si>
  <si>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</si>
  <si>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</si>
  <si>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</si>
  <si>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</si>
  <si>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</si>
  <si>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</si>
  <si>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</si>
  <si>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</si>
  <si>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</si>
  <si>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</si>
  <si>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</si>
  <si>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</si>
  <si>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</si>
  <si>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</si>
  <si>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</si>
  <si>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</si>
  <si>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</si>
  <si>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</si>
  <si>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</si>
  <si>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</si>
  <si>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</si>
  <si>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</si>
  <si>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</si>
  <si>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</si>
  <si>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</si>
  <si>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</si>
  <si>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</si>
  <si>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</si>
  <si>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</si>
  <si>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</si>
  <si>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</si>
  <si>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</si>
  <si>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</si>
  <si>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</si>
  <si>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</si>
  <si>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</si>
  <si>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</si>
  <si>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</si>
  <si>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</si>
  <si>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</si>
  <si>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</si>
  <si>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</si>
  <si>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</si>
  <si>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</si>
  <si>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</si>
  <si>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</si>
  <si>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</si>
  <si>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</si>
  <si>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</si>
  <si>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</si>
  <si>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</si>
  <si>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</si>
  <si>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</si>
  <si>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</si>
  <si>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</si>
  <si>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</si>
  <si>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</si>
  <si>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</si>
  <si>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</si>
  <si>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</si>
  <si>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</si>
  <si>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</si>
  <si>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</si>
  <si>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</si>
  <si>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</si>
  <si>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</si>
  <si>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</si>
  <si>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</si>
  <si>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</si>
  <si>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</si>
  <si>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</si>
  <si>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</si>
  <si>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</si>
  <si>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</si>
  <si>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</si>
  <si>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</si>
  <si>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</si>
  <si>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</si>
  <si>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</si>
  <si>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</si>
  <si>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</si>
  <si>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</si>
  <si>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</si>
  <si>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</si>
  <si>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</si>
  <si>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</si>
  <si>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</si>
  <si>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</si>
  <si>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</si>
  <si>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</si>
  <si>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</si>
  <si>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</si>
  <si>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</si>
  <si>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</si>
  <si>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</si>
  <si>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</si>
  <si>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</si>
  <si>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</si>
  <si>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</si>
  <si>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</si>
  <si>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</si>
  <si>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</si>
  <si>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</si>
  <si>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</si>
  <si>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</si>
  <si>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</si>
  <si>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</si>
  <si>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</si>
  <si>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</si>
  <si>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</si>
  <si>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</si>
  <si>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</si>
  <si>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</si>
  <si>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</si>
  <si>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</si>
  <si>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</si>
  <si>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</si>
  <si>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</si>
  <si>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</si>
  <si>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</si>
  <si>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</si>
  <si>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</si>
  <si>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</si>
  <si>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</si>
  <si>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</si>
  <si>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</si>
  <si>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</si>
  <si>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</si>
  <si>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</si>
  <si>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</si>
  <si>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</si>
  <si>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</si>
  <si>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</si>
  <si>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</si>
  <si>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</si>
  <si>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</si>
  <si>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</si>
  <si>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</si>
  <si>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</si>
  <si>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</si>
  <si>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</si>
  <si>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</si>
  <si>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</si>
  <si>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</si>
  <si>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</si>
  <si>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</si>
  <si>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</si>
  <si>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</si>
  <si>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</si>
  <si>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</si>
  <si>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</si>
  <si>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</si>
  <si>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</si>
  <si>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</si>
  <si>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</si>
  <si>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</si>
  <si>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</si>
  <si>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</si>
  <si>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</si>
  <si>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</si>
  <si>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</si>
  <si>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</si>
  <si>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</si>
  <si>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</si>
  <si>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</si>
  <si>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</si>
  <si>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</si>
  <si>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</si>
  <si>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</si>
  <si>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</si>
  <si>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</si>
  <si>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</si>
  <si>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</si>
  <si>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</si>
  <si>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</si>
  <si>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</si>
  <si>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IsLoopTrack</t>
  </si>
  <si>
    <t>StartSeconds</t>
  </si>
  <si>
    <t>IntervalSeconds</t>
  </si>
  <si>
    <t>MaxGrantCount</t>
  </si>
  <si>
    <t>SteamPlaytimeGeneratorItemDefId</t>
  </si>
  <si>
    <t>SteamDropWindowSeconds</t>
  </si>
  <si>
    <t>SteamDropMaxPerWindow</t>
  </si>
  <si>
    <t>CostChipsOverride</t>
  </si>
  <si>
    <t>对应 BlindBox.Id</t>
  </si>
  <si>
    <t>TRUE 表示正常阶段循环装扮奖励准备行</t>
  </si>
  <si>
    <t>按玩家调度时钟计算的最早生效时间</t>
  </si>
  <si>
    <t>非循环行为相对上次领取间隔；循环行为 Steam 直接奖励掉落间隔</t>
  </si>
  <si>
    <t>最多发放次数；不限填 -1</t>
  </si>
  <si>
    <t>通过 TriggerItemDrop 请求的 Steam PlaytimeGenerator ItemDef ID；该定义直接生成最终装扮；本地消耗品填 0</t>
  </si>
  <si>
    <t>Steam 掉落窗口基础秒数；乘等待倍率后转为分钟；0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</si>
  <si>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</si>
  <si>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</si>
  <si>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</si>
  <si>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</si>
  <si>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</si>
  <si>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</si>
  <si>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</si>
  <si>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</si>
  <si>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</si>
  <si>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Steam掉落窗口秒数</t>
  </si>
  <si>
    <t>Steam窗口最大发放数</t>
  </si>
  <si>
    <t>本次筹码成本覆盖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</si>
  <si>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</si>
  <si>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</si>
  <si>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</si>
  <si>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</si>
  <si>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</si>
  <si>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</si>
  <si>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</si>
  <si>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</si>
  <si>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</si>
  <si>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</si>
  <si>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</si>
  <si>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</si>
  <si>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</si>
  <si>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</si>
  <si>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</si>
  <si>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</si>
  <si>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</si>
  <si>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</si>
  <si>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</si>
  <si>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</si>
  <si>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</si>
  <si>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</si>
  <si>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</si>
  <si>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</si>
  <si>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</si>
  <si>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</si>
  <si>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</si>
  <si>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</si>
  <si>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</si>
  <si>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</si>
  <si>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</si>
  <si>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</si>
  <si>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</si>
  <si>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</si>
  <si>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</si>
  <si>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</si>
  <si>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</si>
  <si>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</si>
  <si>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</si>
  <si>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</si>
  <si>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</si>
  <si>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</si>
  <si>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</si>
  <si>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</si>
  <si>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</si>
  <si>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</si>
  <si>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</si>
  <si>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</si>
  <si>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</si>
  <si>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</si>
  <si>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</si>
  <si>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</si>
  <si>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</si>
  <si>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</si>
  <si>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</si>
  <si>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</si>
  <si>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</si>
  <si>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</si>
  <si>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</si>
  <si>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</si>
  <si>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</si>
  <si>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</si>
  <si>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</si>
  <si>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</si>
  <si>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</si>
  <si>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</si>
  <si>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</si>
  <si>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</si>
  <si>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</si>
  <si>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</si>
  <si>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</si>
  <si>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</si>
  <si>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</si>
  <si>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</si>
  <si>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</si>
  <si>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</si>
  <si>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</si>
  <si>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</si>
  <si>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</si>
  <si>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</si>
  <si>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</si>
  <si>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</si>
  <si>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</si>
  <si>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</si>
  <si>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</si>
  <si>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</si>
  <si>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</si>
  <si>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</si>
  <si>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</si>
  <si>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</si>
  <si>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</si>
  <si>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</si>
  <si>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</si>
  <si>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</si>
  <si>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</si>
  <si>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</si>
  <si>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</si>
  <si>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</si>
  <si>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</si>
  <si>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</si>
  <si>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</si>
  <si>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</si>
  <si>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</si>
  <si>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</si>
  <si>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</si>
  <si>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</si>
  <si>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</si>
  <si>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</si>
  <si>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</si>
  <si>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</si>
  <si>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</si>
  <si>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</si>
  <si>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</si>
  <si>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</si>
  <si>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</si>
  <si>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</si>
  <si>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</si>
  <si>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</si>
  <si>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</si>
  <si>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</si>
  <si>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</si>
  <si>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</si>
  <si>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</si>
  <si>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</si>
  <si>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</si>
  <si>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</si>
  <si>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</si>
  <si>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</si>
  <si>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</si>
  <si>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</si>
  <si>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</si>
  <si>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</si>
  <si>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</si>
  <si>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</si>
  <si>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</si>
  <si>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</si>
  <si>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</si>
  <si>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</si>
  <si>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</si>
  <si>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</si>
  <si>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</si>
  <si>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</si>
  <si>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</si>
  <si>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</si>
  <si>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</si>
  <si>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</si>
  <si>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</si>
  <si>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</si>
  <si>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</si>
  <si>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</si>
  <si>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</si>
  <si>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</si>
  <si>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</si>
  <si>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</si>
  <si>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</si>
  <si>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</si>
  <si>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</si>
  <si>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</si>
  <si>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</si>
  <si>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</si>
  <si>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</si>
  <si>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</si>
  <si>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</si>
  <si>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</si>
  <si>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</si>
  <si>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</si>
  <si>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</si>
  <si>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</si>
  <si>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</si>
  <si>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</si>
  <si>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</si>
  <si>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</si>
  <si>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</si>
  <si>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</si>
  <si>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</si>
  <si>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</si>
  <si>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</si>
  <si>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</si>
  <si>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</si>
  <si>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</si>
  <si>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</si>
  <si>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</si>
  <si>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</si>
  <si>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</si>
  <si>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</si>
  <si>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</si>
  <si>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</si>
  <si>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</si>
  <si>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</si>
  <si>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</si>
  <si>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</si>
  <si>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</si>
  <si>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</si>
  <si>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</si>
  <si>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</si>
  <si>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</si>
  <si>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</si>
  <si>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</si>
  <si>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</si>
  <si>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</si>
  <si>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</si>
  <si>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</si>
  <si>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</si>
  <si>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</si>
  <si>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</si>
  <si>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</si>
  <si>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</si>
  <si>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</si>
  <si>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</si>
  <si>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</si>
  <si>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</si>
  <si>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</si>
  <si>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</si>
  <si>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</si>
  <si>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</si>
  <si>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</si>
  <si>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</si>
  <si>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</si>
  <si>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</si>
  <si>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</si>
  <si>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</si>
  <si>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</si>
  <si>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</si>
  <si>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</si>
  <si>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</si>
  <si>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</si>
  <si>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</si>
  <si>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</si>
  <si>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</si>
  <si>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</si>
  <si>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</si>
  <si>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</si>
  <si>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</si>
  <si>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</si>
  <si>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</si>
  <si>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</si>
  <si>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</si>
  <si>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</si>
  <si>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</si>
  <si>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</si>
  <si>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</si>
  <si>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</si>
  <si>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</si>
  <si>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</si>
  <si>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</si>
  <si>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</si>
  <si>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</si>
  <si>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</si>
  <si>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</si>
  <si>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</si>
  <si>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</si>
  <si>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</si>
  <si>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</si>
  <si>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</si>
  <si>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</si>
  <si>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</si>
  <si>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</si>
  <si>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</si>
  <si>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</si>
  <si>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</si>
  <si>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</si>
  <si>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</si>
  <si>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</si>
  <si>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</si>
  <si>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</si>
  <si>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</si>
  <si>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</si>
  <si>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</si>
  <si>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</si>
  <si>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</si>
  <si>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</si>
  <si>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</si>
  <si>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</si>
  <si>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</si>
  <si>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</si>
  <si>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</si>
  <si>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</si>
  <si>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</si>
  <si>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</si>
  <si>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</si>
  <si>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</si>
  <si>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</si>
  <si>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</si>
  <si>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</si>
  <si>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</si>
  <si>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</si>
  <si>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</si>
  <si>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</si>
  <si>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</si>
  <si>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</si>
  <si>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</si>
  <si>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</si>
  <si>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</si>
  <si>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</si>
  <si>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</si>
  <si>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</si>
  <si>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</si>
  <si>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</si>
  <si>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</si>
  <si>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</si>
  <si>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</si>
  <si>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</si>
  <si>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</si>
  <si>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</si>
  <si>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</si>
  <si>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</si>
  <si>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</si>
  <si>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</si>
  <si>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</si>
  <si>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</si>
  <si>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</si>
  <si>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</si>
  <si>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</si>
  <si>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</si>
  <si>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</si>
  <si>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</si>
  <si>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</si>
  <si>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</si>
  <si>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</si>
  <si>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</si>
  <si>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</si>
  <si>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</si>
  <si>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</si>
  <si>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</si>
  <si>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</si>
  <si>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</si>
  <si>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</si>
  <si>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</si>
  <si>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</si>
  <si>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</si>
  <si>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</si>
  <si>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</si>
  <si>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</si>
  <si>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</si>
  <si>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</si>
  <si>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</si>
  <si>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</si>
  <si>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</si>
  <si>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</si>
  <si>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</si>
  <si>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</si>
  <si>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</si>
  <si>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</si>
  <si>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</si>
  <si>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</si>
  <si>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</si>
  <si>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</si>
  <si>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</si>
  <si>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NewbieScheduleStart</t>
  </si>
  <si>
    <t>新手调度直接奖励开始</t>
  </si>
  <si>
    <t>NewbieScheduleEnd</t>
  </si>
  <si>
    <t>新手调度直接奖励结束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</si>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</sst>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3" fillId="5" borderId="0" xfId="0" applyFont="1" applyFill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6" borderId="0" xfId="0" applyFill="1">
      <alignment vertical="center"/>
    </xf>
    <xf numFmtId="0" fontId="0" fillId="3" borderId="0" xfId="0" applyFill="1">
      <alignment vertical="center"/>
    </xf>
    <xf numFmtId="0" fontId="0" fillId="7" borderId="0" xfId="0" applyFill="1" applyAlignment="1">
      <alignment vertical="center" wrapText="1"/>
    </xf>
    <xf numFmtId="0" fontId="2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6" customWidth="1"/>
    <col min="20" max="20" width="44" customWidth="1"/>
    <col min="21" max="21" width="48.5833333333333" customWidth="1"/>
    <col min="22" max="22" width="15.4166666666667" customWidth="1"/>
    <col min="23" max="23" width="7" style="26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7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5" customFormat="1" spans="1:35">
      <c r="B5" s="25">
        <v>1001</v>
      </c>
      <c r="C5" s="25" t="s">
        <v>89</v>
      </c>
      <c r="D5" s="25" t="s">
        <v>90</v>
      </c>
      <c r="E5" s="25" t="s">
        <v>91</v>
      </c>
      <c r="H5" s="25" t="s">
        <v>92</v>
      </c>
      <c r="I5" s="25">
        <v>200</v>
      </c>
      <c r="J5" s="25">
        <v>0</v>
      </c>
      <c r="K5" s="25" t="b">
        <v>0</v>
      </c>
      <c r="L5" s="25" t="s">
        <v>93</v>
      </c>
      <c r="M5" s="25" t="b">
        <v>1</v>
      </c>
      <c r="N5" s="25">
        <v>0</v>
      </c>
      <c r="O5" s="25">
        <v>0</v>
      </c>
      <c r="P5" s="25">
        <v>0</v>
      </c>
      <c r="T5" s="25" t="s">
        <v>94</v>
      </c>
      <c r="U5" s="25" t="s">
        <v>95</v>
      </c>
      <c r="V5" s="25">
        <v>1001</v>
      </c>
      <c r="W5" s="25"/>
      <c r="Y5" s="25" t="s">
        <v>96</v>
      </c>
      <c r="AA5" s="25" t="b">
        <v>1</v>
      </c>
      <c r="AB5" s="25" t="b">
        <v>0</v>
      </c>
      <c r="AC5" s="25" t="b">
        <v>0</v>
      </c>
      <c r="AD5" s="25" t="b">
        <v>0</v>
      </c>
      <c r="AE5" s="25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6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6" t="s">
        <v>161</v>
      </c>
      <c r="T28" t="s">
        <v>182</v>
      </c>
      <c r="U28" t="s">
        <v>183</v>
      </c>
      <c r="V28" t="s">
        <v>161</v>
      </c>
      <c r="W28" s="26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6" t="s">
        <v>161</v>
      </c>
      <c r="T29" t="s">
        <v>186</v>
      </c>
      <c r="U29" t="s">
        <v>187</v>
      </c>
      <c r="V29" t="s">
        <v>161</v>
      </c>
      <c r="W29" s="26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5" customFormat="1" spans="2:31">
      <c r="B35" s="25">
        <v>4001</v>
      </c>
      <c r="C35" s="25" t="s">
        <v>209</v>
      </c>
      <c r="D35" s="25" t="s">
        <v>210</v>
      </c>
      <c r="E35" s="25" t="s">
        <v>211</v>
      </c>
      <c r="F35" s="25" t="s">
        <v>212</v>
      </c>
      <c r="H35" s="25" t="s">
        <v>92</v>
      </c>
      <c r="I35" s="25">
        <v>0</v>
      </c>
      <c r="J35" s="25">
        <v>0</v>
      </c>
      <c r="K35" s="25" t="b">
        <v>1</v>
      </c>
      <c r="L35" s="25" t="s">
        <v>93</v>
      </c>
      <c r="M35" s="25" t="b">
        <v>1</v>
      </c>
      <c r="N35" s="25">
        <v>0</v>
      </c>
      <c r="O35" s="25">
        <v>0</v>
      </c>
      <c r="P35" s="25">
        <v>0</v>
      </c>
      <c r="T35" s="25" t="s">
        <v>213</v>
      </c>
      <c r="U35" s="25" t="s">
        <v>214</v>
      </c>
      <c r="X35" s="25">
        <v>104001</v>
      </c>
      <c r="Y35" s="25" t="s">
        <v>96</v>
      </c>
      <c r="Z35" s="25"/>
      <c r="AA35" s="25" t="b">
        <v>1</v>
      </c>
      <c r="AB35" s="25" t="b">
        <v>0</v>
      </c>
      <c r="AC35" s="25" t="b">
        <v>0</v>
      </c>
      <c r="AD35" s="25" t="b">
        <v>0</v>
      </c>
      <c r="AE35" s="25" t="b">
        <v>0</v>
      </c>
    </row>
    <row r="36" s="25" customFormat="1" spans="2:31">
      <c r="B36" s="25">
        <v>4002</v>
      </c>
      <c r="C36" s="25" t="s">
        <v>215</v>
      </c>
      <c r="D36" s="25" t="s">
        <v>216</v>
      </c>
      <c r="E36" s="25" t="s">
        <v>211</v>
      </c>
      <c r="F36" s="25" t="s">
        <v>212</v>
      </c>
      <c r="H36" s="25" t="s">
        <v>92</v>
      </c>
      <c r="I36" s="25">
        <v>0</v>
      </c>
      <c r="J36" s="25">
        <v>0</v>
      </c>
      <c r="K36" s="25" t="b">
        <v>1</v>
      </c>
      <c r="L36" s="25" t="s">
        <v>93</v>
      </c>
      <c r="M36" s="25" t="b">
        <v>1</v>
      </c>
      <c r="N36" s="25">
        <v>0</v>
      </c>
      <c r="O36" s="25">
        <v>0</v>
      </c>
      <c r="P36" s="25">
        <v>0</v>
      </c>
      <c r="T36" s="25" t="s">
        <v>217</v>
      </c>
      <c r="U36" s="25" t="s">
        <v>218</v>
      </c>
      <c r="X36" s="25">
        <v>104002</v>
      </c>
      <c r="Y36" s="25" t="s">
        <v>96</v>
      </c>
      <c r="Z36" s="25"/>
      <c r="AA36" s="25" t="b">
        <v>1</v>
      </c>
      <c r="AB36" s="25" t="b">
        <v>0</v>
      </c>
      <c r="AC36" s="25" t="b">
        <v>0</v>
      </c>
      <c r="AD36" s="25" t="b">
        <v>0</v>
      </c>
      <c r="AE36" s="25" t="b">
        <v>0</v>
      </c>
    </row>
    <row r="37" s="25" customFormat="1" spans="2:31">
      <c r="B37" s="25">
        <v>4003</v>
      </c>
      <c r="C37" s="25" t="s">
        <v>219</v>
      </c>
      <c r="D37" s="25" t="s">
        <v>220</v>
      </c>
      <c r="E37" s="25" t="s">
        <v>211</v>
      </c>
      <c r="F37" s="25" t="s">
        <v>212</v>
      </c>
      <c r="H37" s="25" t="s">
        <v>92</v>
      </c>
      <c r="I37" s="25">
        <v>0</v>
      </c>
      <c r="J37" s="25">
        <v>0</v>
      </c>
      <c r="K37" s="25" t="b">
        <v>1</v>
      </c>
      <c r="L37" s="25" t="s">
        <v>93</v>
      </c>
      <c r="M37" s="25" t="b">
        <v>1</v>
      </c>
      <c r="N37" s="25">
        <v>0</v>
      </c>
      <c r="O37" s="25">
        <v>0</v>
      </c>
      <c r="P37" s="25">
        <v>0</v>
      </c>
      <c r="T37" s="25" t="s">
        <v>221</v>
      </c>
      <c r="U37" s="25" t="s">
        <v>222</v>
      </c>
      <c r="X37" s="25">
        <v>104003</v>
      </c>
      <c r="Y37" s="25" t="s">
        <v>96</v>
      </c>
      <c r="Z37" s="25"/>
      <c r="AA37" s="25" t="b">
        <v>1</v>
      </c>
      <c r="AB37" s="25" t="b">
        <v>0</v>
      </c>
      <c r="AC37" s="25" t="b">
        <v>0</v>
      </c>
      <c r="AD37" s="25" t="b">
        <v>0</v>
      </c>
      <c r="AE37" s="25" t="b">
        <v>0</v>
      </c>
    </row>
    <row r="38" s="25" customFormat="1" spans="2:31">
      <c r="B38" s="25">
        <v>4004</v>
      </c>
      <c r="C38" s="25" t="s">
        <v>223</v>
      </c>
      <c r="D38" s="25" t="s">
        <v>224</v>
      </c>
      <c r="E38" s="25" t="s">
        <v>211</v>
      </c>
      <c r="F38" s="25" t="s">
        <v>212</v>
      </c>
      <c r="H38" s="25" t="s">
        <v>92</v>
      </c>
      <c r="I38" s="25">
        <v>0</v>
      </c>
      <c r="J38" s="25">
        <v>0</v>
      </c>
      <c r="K38" s="25" t="b">
        <v>1</v>
      </c>
      <c r="L38" s="25" t="s">
        <v>93</v>
      </c>
      <c r="M38" s="25" t="b">
        <v>1</v>
      </c>
      <c r="N38" s="25">
        <v>0</v>
      </c>
      <c r="O38" s="25">
        <v>0</v>
      </c>
      <c r="P38" s="25">
        <v>0</v>
      </c>
      <c r="T38" s="25" t="s">
        <v>225</v>
      </c>
      <c r="U38" s="25" t="s">
        <v>226</v>
      </c>
      <c r="X38" s="25">
        <v>104004</v>
      </c>
      <c r="Y38" s="25" t="s">
        <v>96</v>
      </c>
      <c r="Z38" s="25"/>
      <c r="AA38" s="25" t="b">
        <v>1</v>
      </c>
      <c r="AB38" s="25" t="b">
        <v>0</v>
      </c>
      <c r="AC38" s="25" t="b">
        <v>0</v>
      </c>
      <c r="AD38" s="25" t="b">
        <v>0</v>
      </c>
      <c r="AE38" s="25" t="b">
        <v>0</v>
      </c>
    </row>
    <row r="39" s="25" customFormat="1" spans="2:31">
      <c r="B39" s="25">
        <v>4005</v>
      </c>
      <c r="C39" s="25" t="s">
        <v>227</v>
      </c>
      <c r="D39" s="25" t="s">
        <v>228</v>
      </c>
      <c r="E39" s="25" t="s">
        <v>211</v>
      </c>
      <c r="F39" s="25" t="s">
        <v>212</v>
      </c>
      <c r="H39" s="25" t="s">
        <v>92</v>
      </c>
      <c r="I39" s="25">
        <v>0</v>
      </c>
      <c r="J39" s="25">
        <v>0</v>
      </c>
      <c r="K39" s="25" t="b">
        <v>1</v>
      </c>
      <c r="L39" s="25" t="s">
        <v>93</v>
      </c>
      <c r="M39" s="25" t="b">
        <v>1</v>
      </c>
      <c r="N39" s="25">
        <v>0</v>
      </c>
      <c r="O39" s="25">
        <v>0</v>
      </c>
      <c r="P39" s="25">
        <v>0</v>
      </c>
      <c r="T39" s="25" t="s">
        <v>229</v>
      </c>
      <c r="U39" s="25" t="s">
        <v>230</v>
      </c>
      <c r="X39" s="25">
        <v>104005</v>
      </c>
      <c r="Y39" s="25" t="s">
        <v>96</v>
      </c>
      <c r="Z39" s="25"/>
      <c r="AA39" s="25" t="b">
        <v>1</v>
      </c>
      <c r="AB39" s="25" t="b">
        <v>0</v>
      </c>
      <c r="AC39" s="25" t="b">
        <v>0</v>
      </c>
      <c r="AD39" s="25" t="b">
        <v>0</v>
      </c>
      <c r="AE39" s="25" t="b">
        <v>0</v>
      </c>
    </row>
    <row r="40" s="25" customFormat="1" spans="2:31">
      <c r="B40" s="25">
        <v>4006</v>
      </c>
      <c r="C40" s="25" t="s">
        <v>231</v>
      </c>
      <c r="D40" s="25" t="s">
        <v>232</v>
      </c>
      <c r="E40" s="25" t="s">
        <v>211</v>
      </c>
      <c r="F40" s="25" t="s">
        <v>212</v>
      </c>
      <c r="H40" s="25" t="s">
        <v>92</v>
      </c>
      <c r="I40" s="25">
        <v>0</v>
      </c>
      <c r="J40" s="25">
        <v>0</v>
      </c>
      <c r="K40" s="25" t="b">
        <v>1</v>
      </c>
      <c r="L40" s="25" t="s">
        <v>93</v>
      </c>
      <c r="M40" s="25" t="b">
        <v>1</v>
      </c>
      <c r="N40" s="25">
        <v>0</v>
      </c>
      <c r="O40" s="25">
        <v>0</v>
      </c>
      <c r="P40" s="25">
        <v>0</v>
      </c>
      <c r="T40" s="25" t="s">
        <v>233</v>
      </c>
      <c r="U40" s="25" t="s">
        <v>234</v>
      </c>
      <c r="X40" s="25">
        <v>104006</v>
      </c>
      <c r="Y40" s="25" t="s">
        <v>96</v>
      </c>
      <c r="Z40" s="25"/>
      <c r="AA40" s="25" t="b">
        <v>1</v>
      </c>
      <c r="AB40" s="25" t="b">
        <v>0</v>
      </c>
      <c r="AC40" s="25" t="b">
        <v>0</v>
      </c>
      <c r="AD40" s="25" t="b">
        <v>0</v>
      </c>
      <c r="AE40" s="25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5" customFormat="1" spans="2:31">
      <c r="B49" s="25">
        <v>6001</v>
      </c>
      <c r="C49" s="25" t="s">
        <v>268</v>
      </c>
      <c r="D49" s="25" t="s">
        <v>269</v>
      </c>
      <c r="E49" s="25" t="s">
        <v>270</v>
      </c>
      <c r="F49" s="25" t="s">
        <v>161</v>
      </c>
      <c r="G49" s="25" t="s">
        <v>161</v>
      </c>
      <c r="H49" s="25" t="s">
        <v>92</v>
      </c>
      <c r="I49" s="25">
        <v>300</v>
      </c>
      <c r="J49" s="25">
        <v>0</v>
      </c>
      <c r="K49" s="25" t="b">
        <v>0</v>
      </c>
      <c r="L49" s="25" t="s">
        <v>93</v>
      </c>
      <c r="M49" s="25" t="b">
        <v>1</v>
      </c>
      <c r="N49" s="25">
        <v>0</v>
      </c>
      <c r="O49" s="25">
        <v>0</v>
      </c>
      <c r="P49" s="25">
        <v>0</v>
      </c>
      <c r="Q49" s="25" t="s">
        <v>161</v>
      </c>
      <c r="R49" s="25" t="s">
        <v>161</v>
      </c>
      <c r="S49" s="25" t="s">
        <v>161</v>
      </c>
      <c r="T49" s="25" t="s">
        <v>271</v>
      </c>
      <c r="U49" s="25" t="s">
        <v>272</v>
      </c>
      <c r="X49" s="25">
        <v>106001</v>
      </c>
      <c r="Y49" s="25" t="s">
        <v>96</v>
      </c>
      <c r="Z49" s="25"/>
      <c r="AA49" s="25" t="b">
        <v>1</v>
      </c>
      <c r="AB49" s="25" t="b">
        <v>0</v>
      </c>
      <c r="AC49" s="25" t="b">
        <v>0</v>
      </c>
      <c r="AD49" s="25" t="b">
        <v>0</v>
      </c>
      <c r="AE49" s="25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6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6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6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6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6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6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6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6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6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6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5" customFormat="1" spans="2:31">
      <c r="B63" s="25">
        <v>7004</v>
      </c>
      <c r="C63" s="25" t="s">
        <v>326</v>
      </c>
      <c r="D63" s="25" t="s">
        <v>327</v>
      </c>
      <c r="E63" s="25" t="s">
        <v>315</v>
      </c>
      <c r="H63" s="28" t="s">
        <v>92</v>
      </c>
      <c r="I63" s="25">
        <v>300</v>
      </c>
      <c r="J63" s="25">
        <v>0</v>
      </c>
      <c r="K63" s="25" t="b">
        <v>0</v>
      </c>
      <c r="L63" s="25" t="s">
        <v>93</v>
      </c>
      <c r="M63" s="25" t="b">
        <v>1</v>
      </c>
      <c r="N63" s="25">
        <v>0</v>
      </c>
      <c r="O63" s="25">
        <v>0</v>
      </c>
      <c r="P63" s="25">
        <v>0</v>
      </c>
      <c r="T63" s="25" t="s">
        <v>328</v>
      </c>
      <c r="U63" s="25" t="s">
        <v>329</v>
      </c>
      <c r="X63" s="25">
        <v>107004</v>
      </c>
      <c r="Y63" s="25" t="s">
        <v>96</v>
      </c>
      <c r="Z63" s="25"/>
      <c r="AA63" s="25" t="b">
        <v>1</v>
      </c>
      <c r="AB63" s="25" t="b">
        <v>0</v>
      </c>
      <c r="AC63" s="25" t="b">
        <v>0</v>
      </c>
      <c r="AD63" s="25" t="b">
        <v>0</v>
      </c>
      <c r="AE63" s="25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6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6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6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6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6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6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6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6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6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6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6" t="s">
        <v>161</v>
      </c>
      <c r="T78" t="s">
        <v>388</v>
      </c>
      <c r="U78" t="s">
        <v>389</v>
      </c>
      <c r="V78" t="s">
        <v>161</v>
      </c>
      <c r="W78" s="26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6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6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6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6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6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6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6" t="s">
        <v>161</v>
      </c>
      <c r="T88" t="s">
        <v>429</v>
      </c>
      <c r="U88" t="s">
        <v>430</v>
      </c>
      <c r="V88" t="s">
        <v>161</v>
      </c>
      <c r="W88" s="26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6" t="s">
        <v>161</v>
      </c>
      <c r="T89" t="s">
        <v>433</v>
      </c>
      <c r="U89" t="s">
        <v>434</v>
      </c>
      <c r="V89" t="s">
        <v>161</v>
      </c>
      <c r="W89" s="26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6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6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6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6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6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6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6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6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6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5" customFormat="1" spans="2:31">
      <c r="B101" s="25">
        <v>10001</v>
      </c>
      <c r="C101" s="25" t="s">
        <v>483</v>
      </c>
      <c r="D101" s="25" t="s">
        <v>484</v>
      </c>
      <c r="E101" s="25" t="s">
        <v>485</v>
      </c>
      <c r="H101" s="25" t="s">
        <v>92</v>
      </c>
      <c r="I101" s="25">
        <v>300</v>
      </c>
      <c r="J101" s="25">
        <v>0</v>
      </c>
      <c r="K101" s="25" t="b">
        <v>1</v>
      </c>
      <c r="L101" s="25" t="s">
        <v>93</v>
      </c>
      <c r="M101" s="25" t="b">
        <v>1</v>
      </c>
      <c r="N101" s="25">
        <v>0</v>
      </c>
      <c r="O101" s="25">
        <v>0</v>
      </c>
      <c r="P101" s="25">
        <v>0</v>
      </c>
      <c r="T101" s="25" t="s">
        <v>486</v>
      </c>
      <c r="U101" s="25" t="s">
        <v>487</v>
      </c>
      <c r="X101" s="25">
        <v>110001</v>
      </c>
      <c r="Y101" s="25" t="s">
        <v>96</v>
      </c>
      <c r="Z101" s="25"/>
      <c r="AA101" s="25" t="b">
        <v>1</v>
      </c>
      <c r="AB101" s="25" t="b">
        <v>0</v>
      </c>
      <c r="AC101" s="25" t="b">
        <v>0</v>
      </c>
      <c r="AD101" s="25" t="b">
        <v>0</v>
      </c>
      <c r="AE101" s="25" t="b">
        <v>0</v>
      </c>
    </row>
    <row r="102" s="25" customFormat="1" spans="2:31">
      <c r="B102" s="25">
        <v>11001</v>
      </c>
      <c r="C102" s="25" t="s">
        <v>488</v>
      </c>
      <c r="D102" s="25" t="s">
        <v>489</v>
      </c>
      <c r="E102" s="25" t="s">
        <v>490</v>
      </c>
      <c r="H102" s="25" t="s">
        <v>92</v>
      </c>
      <c r="I102" s="25">
        <v>300</v>
      </c>
      <c r="J102" s="25">
        <v>0</v>
      </c>
      <c r="K102" s="25" t="b">
        <v>1</v>
      </c>
      <c r="L102" s="25" t="s">
        <v>93</v>
      </c>
      <c r="M102" s="25" t="b">
        <v>1</v>
      </c>
      <c r="N102" s="25">
        <v>0</v>
      </c>
      <c r="O102" s="25">
        <v>0</v>
      </c>
      <c r="P102" s="25">
        <v>0</v>
      </c>
      <c r="T102" s="25" t="s">
        <v>491</v>
      </c>
      <c r="U102" s="25" t="s">
        <v>492</v>
      </c>
      <c r="W102" s="25" t="s">
        <v>493</v>
      </c>
      <c r="X102" s="25">
        <v>111001</v>
      </c>
      <c r="Y102" s="25" t="s">
        <v>96</v>
      </c>
      <c r="Z102" s="25"/>
      <c r="AA102" s="25" t="b">
        <v>1</v>
      </c>
      <c r="AB102" s="25" t="b">
        <v>0</v>
      </c>
      <c r="AC102" s="25" t="b">
        <v>0</v>
      </c>
      <c r="AD102" s="25" t="b">
        <v>0</v>
      </c>
      <c r="AE102" s="25" t="b">
        <v>0</v>
      </c>
    </row>
    <row r="103" s="25" customFormat="1" spans="2:31">
      <c r="B103" s="25">
        <v>11002</v>
      </c>
      <c r="C103" s="25" t="s">
        <v>494</v>
      </c>
      <c r="D103" s="25" t="s">
        <v>495</v>
      </c>
      <c r="E103" s="25" t="s">
        <v>490</v>
      </c>
      <c r="G103" s="25">
        <v>11001</v>
      </c>
      <c r="H103" s="25" t="s">
        <v>92</v>
      </c>
      <c r="I103" s="25">
        <v>300</v>
      </c>
      <c r="J103" s="25">
        <v>0</v>
      </c>
      <c r="K103" s="25" t="b">
        <v>1</v>
      </c>
      <c r="L103" s="25" t="s">
        <v>93</v>
      </c>
      <c r="M103" s="25" t="b">
        <v>1</v>
      </c>
      <c r="N103" s="25">
        <v>0</v>
      </c>
      <c r="O103" s="25">
        <v>0</v>
      </c>
      <c r="P103" s="25">
        <v>0</v>
      </c>
      <c r="T103" s="25" t="s">
        <v>491</v>
      </c>
      <c r="U103" s="25" t="s">
        <v>496</v>
      </c>
      <c r="X103" s="25">
        <v>111002</v>
      </c>
      <c r="Y103" s="25" t="s">
        <v>96</v>
      </c>
      <c r="Z103" s="25"/>
      <c r="AA103" s="25" t="b">
        <v>1</v>
      </c>
      <c r="AB103" s="25" t="b">
        <v>0</v>
      </c>
      <c r="AC103" s="25" t="b">
        <v>0</v>
      </c>
      <c r="AD103" s="25" t="b">
        <v>0</v>
      </c>
      <c r="AE103" s="25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6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6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6"/>
      <c r="T106" t="s">
        <v>157</v>
      </c>
      <c r="U106" t="s">
        <v>158</v>
      </c>
      <c r="W106" s="26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6"/>
      <c r="T107" t="s">
        <v>111</v>
      </c>
      <c r="U107" t="s">
        <v>136</v>
      </c>
      <c r="V107">
        <v>1012</v>
      </c>
      <c r="W107" s="26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0" t="s">
        <v>512</v>
      </c>
      <c r="B1" s="21"/>
      <c r="C1" s="21"/>
      <c r="D1" s="22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0" t="s">
        <v>593</v>
      </c>
      <c r="B32" s="20"/>
      <c r="C32" s="20"/>
      <c r="D32" s="23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</row>
    <row r="34" s="5" customFormat="1" spans="1:2">
      <c r="A34" s="24" t="s">
        <v>594</v>
      </c>
      <c r="B34" s="5" t="s">
        <v>595</v>
      </c>
    </row>
    <row r="35" s="5" customFormat="1" spans="1:2">
      <c r="A35" s="24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4" t="s">
        <v>594</v>
      </c>
      <c r="B38" s="5" t="s">
        <v>600</v>
      </c>
    </row>
    <row r="39" s="5" customFormat="1" spans="1:2">
      <c r="A39" s="24" t="s">
        <v>596</v>
      </c>
      <c r="B39" s="5" t="s">
        <v>601</v>
      </c>
    </row>
    <row r="40" s="5" customFormat="1" spans="1:2">
      <c r="A40" s="24" t="s">
        <v>602</v>
      </c>
      <c r="B40" s="5" t="s">
        <v>603</v>
      </c>
    </row>
    <row r="41" s="5" customFormat="1" spans="1:2">
      <c r="A41" s="24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4" t="s">
        <v>594</v>
      </c>
      <c r="B44" s="5" t="s">
        <v>606</v>
      </c>
    </row>
    <row r="45" s="5" customFormat="1" spans="1:2">
      <c r="A45" s="24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4" t="s">
        <v>594</v>
      </c>
      <c r="B48" s="5" t="s">
        <v>609</v>
      </c>
    </row>
    <row r="49" spans="1:7">
      <c r="A49" s="24"/>
      <c r="B49" s="5"/>
    </row>
    <row r="50" spans="1:7">
      <c r="A50" s="24" t="s">
        <v>594</v>
      </c>
      <c r="B50" s="5" t="s">
        <v>610</v>
      </c>
      <c r="E50" s="5"/>
      <c r="F50" s="5"/>
      <c r="G50" s="5"/>
    </row>
    <row r="51" spans="1:7">
      <c r="A51" s="24"/>
      <c r="B51" s="5"/>
      <c r="E51" s="5"/>
      <c r="F51" s="5"/>
      <c r="G51" s="5"/>
    </row>
    <row r="52" spans="1:7">
      <c r="A52" s="24" t="s">
        <v>594</v>
      </c>
      <c r="B52" s="5" t="s">
        <v>611</v>
      </c>
      <c r="G52" s="5"/>
    </row>
    <row r="53" spans="1:7">
      <c r="A53" s="24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4" t="s">
        <v>594</v>
      </c>
      <c r="B56" s="5" t="s">
        <v>614</v>
      </c>
    </row>
    <row r="57" spans="1:7">
      <c r="A57" s="24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4" t="s">
        <v>594</v>
      </c>
      <c r="B60" s="5" t="s">
        <v>617</v>
      </c>
    </row>
    <row r="61" spans="1:7">
      <c r="A61" s="24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4" t="s">
        <v>594</v>
      </c>
      <c r="B64" s="5" t="s">
        <v>620</v>
      </c>
    </row>
    <row r="65" spans="1:6">
      <c r="A65" s="24" t="s">
        <v>596</v>
      </c>
      <c r="B65" s="5" t="s">
        <v>621</v>
      </c>
    </row>
    <row r="66" spans="1:6">
      <c r="A66" s="24" t="s">
        <v>602</v>
      </c>
      <c r="B66" s="5" t="s">
        <v>622</v>
      </c>
      <c r="C66" s="5"/>
    </row>
    <row r="67" spans="1:6">
      <c r="A67" s="24" t="s">
        <v>602</v>
      </c>
      <c r="B67" s="5" t="s">
        <v>623</v>
      </c>
      <c r="C67" s="5"/>
    </row>
    <row r="68" spans="1:6">
      <c r="A68" s="24" t="s">
        <v>602</v>
      </c>
      <c r="B68" s="5" t="s">
        <v>624</v>
      </c>
      <c r="C68" s="5"/>
    </row>
    <row r="69" spans="1:6">
      <c r="A69" s="24" t="s">
        <v>602</v>
      </c>
      <c r="B69" t="s">
        <v>625</v>
      </c>
    </row>
    <row r="70" spans="1:6">
      <c r="A70" s="24" t="s">
        <v>602</v>
      </c>
      <c r="B70" t="s">
        <v>626</v>
      </c>
    </row>
    <row r="71" spans="1:6">
      <c r="E71" s="5"/>
      <c r="F71" s="5"/>
    </row>
    <row r="72" spans="1:6">
      <c r="A72" s="24" t="s">
        <v>594</v>
      </c>
      <c r="B72" s="5" t="s">
        <v>627</v>
      </c>
    </row>
    <row r="73" spans="1:6">
      <c r="A73" s="24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4" t="s">
        <v>594</v>
      </c>
      <c r="B76" t="s">
        <v>630</v>
      </c>
    </row>
    <row r="77" spans="1:6">
      <c r="A77" s="24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topLeftCell="E1"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</row>
    <row r="2" spans="1:12">
      <c r="A2" s="4" t="s">
        <v>29</v>
      </c>
      <c r="B2" t="s">
        <v>30</v>
      </c>
      <c r="C2" t="s">
        <v>31</v>
      </c>
      <c r="D2" t="s">
        <v>641</v>
      </c>
      <c r="E2" t="s">
        <v>642</v>
      </c>
      <c r="F2" t="s">
        <v>30</v>
      </c>
      <c r="G2" t="s">
        <v>643</v>
      </c>
      <c r="H2" t="s">
        <v>30</v>
      </c>
      <c r="I2" t="s">
        <v>644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645</v>
      </c>
      <c r="C3" s="2" t="s">
        <v>646</v>
      </c>
      <c r="D3" s="2" t="s">
        <v>647</v>
      </c>
      <c r="E3" s="2" t="s">
        <v>648</v>
      </c>
      <c r="F3" s="2" t="s">
        <v>649</v>
      </c>
      <c r="G3" s="2" t="s">
        <v>161</v>
      </c>
      <c r="H3" s="2" t="s">
        <v>650</v>
      </c>
      <c r="I3" s="2" t="s">
        <v>651</v>
      </c>
      <c r="J3" s="2" t="s">
        <v>75</v>
      </c>
      <c r="K3" s="2" t="s">
        <v>652</v>
      </c>
      <c r="L3" s="2" t="s">
        <v>653</v>
      </c>
    </row>
    <row r="4" s="5" customFormat="1" spans="1:12">
      <c r="A4" s="3" t="s">
        <v>39</v>
      </c>
      <c r="B4" s="5" t="s">
        <v>654</v>
      </c>
      <c r="C4" s="5" t="s">
        <v>655</v>
      </c>
      <c r="D4" s="5" t="s">
        <v>656</v>
      </c>
      <c r="E4" s="5" t="s">
        <v>657</v>
      </c>
      <c r="F4" s="5" t="s">
        <v>658</v>
      </c>
      <c r="G4" s="5" t="s">
        <v>659</v>
      </c>
      <c r="H4" s="5" t="s">
        <v>660</v>
      </c>
      <c r="I4" s="5" t="s">
        <v>661</v>
      </c>
      <c r="J4" s="5" t="s">
        <v>75</v>
      </c>
      <c r="K4" s="5" t="s">
        <v>662</v>
      </c>
      <c r="L4" s="5" t="s">
        <v>663</v>
      </c>
    </row>
    <row r="5" spans="1:12">
      <c r="B5">
        <v>1001</v>
      </c>
      <c r="C5" t="s">
        <v>664</v>
      </c>
      <c r="D5" s="16" t="s">
        <v>665</v>
      </c>
      <c r="E5" s="16" t="s">
        <v>666</v>
      </c>
      <c r="F5">
        <v>1000</v>
      </c>
      <c r="G5" t="s">
        <v>667</v>
      </c>
      <c r="H5">
        <v>3</v>
      </c>
      <c r="I5">
        <v>3</v>
      </c>
      <c r="J5" t="s">
        <v>668</v>
      </c>
      <c r="K5" t="b">
        <v>1</v>
      </c>
      <c r="L5" t="b">
        <v>1</v>
      </c>
    </row>
    <row r="6" spans="1:12">
      <c r="B6">
        <v>1002</v>
      </c>
      <c r="C6" t="s">
        <v>669</v>
      </c>
      <c r="D6" s="16" t="s">
        <v>670</v>
      </c>
      <c r="E6" s="16" t="s">
        <v>666</v>
      </c>
      <c r="F6">
        <v>1000</v>
      </c>
      <c r="G6" t="s">
        <v>667</v>
      </c>
      <c r="H6">
        <v>3</v>
      </c>
      <c r="I6">
        <v>3</v>
      </c>
      <c r="J6" t="s">
        <v>668</v>
      </c>
      <c r="K6" t="b">
        <v>1</v>
      </c>
      <c r="L6" t="b">
        <v>1</v>
      </c>
    </row>
    <row r="7" spans="1:12">
      <c r="B7">
        <v>2001</v>
      </c>
      <c r="C7" t="s">
        <v>671</v>
      </c>
      <c r="D7" s="16" t="s">
        <v>671</v>
      </c>
      <c r="E7" s="16" t="s">
        <v>666</v>
      </c>
      <c r="F7">
        <v>1000</v>
      </c>
      <c r="G7" t="s">
        <v>667</v>
      </c>
      <c r="H7">
        <v>3</v>
      </c>
      <c r="I7">
        <v>3</v>
      </c>
      <c r="J7" t="s">
        <v>668</v>
      </c>
      <c r="K7" t="b">
        <v>0</v>
      </c>
      <c r="L7" t="b">
        <v>1</v>
      </c>
    </row>
    <row r="8" spans="1:12">
      <c r="B8">
        <v>3001</v>
      </c>
      <c r="C8" t="s">
        <v>672</v>
      </c>
      <c r="D8" t="s">
        <v>673</v>
      </c>
      <c r="E8" s="16" t="s">
        <v>674</v>
      </c>
      <c r="F8">
        <v>0</v>
      </c>
      <c r="G8" t="s">
        <v>675</v>
      </c>
      <c r="H8">
        <v>0</v>
      </c>
      <c r="I8">
        <v>3</v>
      </c>
      <c r="J8" t="s">
        <v>668</v>
      </c>
      <c r="K8" t="b">
        <v>1</v>
      </c>
      <c r="L8" t="b">
        <v>1</v>
      </c>
    </row>
    <row r="9" spans="1:12">
      <c r="B9">
        <v>4001</v>
      </c>
      <c r="C9" t="s">
        <v>676</v>
      </c>
      <c r="D9" s="16" t="s">
        <v>665</v>
      </c>
      <c r="E9" s="16" t="s">
        <v>666</v>
      </c>
      <c r="F9">
        <v>0</v>
      </c>
      <c r="G9" t="s">
        <v>675</v>
      </c>
      <c r="H9">
        <v>3</v>
      </c>
      <c r="I9">
        <v>3</v>
      </c>
      <c r="J9" t="s">
        <v>677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"/>
  <sheetViews>
    <sheetView tabSelected="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9" width="7.83333333333333" customWidth="1"/>
    <col min="10" max="10" width="14.25" customWidth="1"/>
    <col min="11" max="11" width="13.1666666666667" customWidth="1"/>
    <col min="12" max="12" width="10.25" customWidth="1"/>
    <col min="13" max="13" width="18.6666666666667" customWidth="1"/>
    <col min="14" max="14" width="13.5" customWidth="1"/>
    <col min="15" max="15" width="8.75" customWidth="1"/>
    <col min="16" max="16" width="20" customWidth="1"/>
  </cols>
  <sheetData>
    <row r="1" spans="1:16">
      <c r="A1" s="3" t="s">
        <v>0</v>
      </c>
      <c r="B1" t="s">
        <v>1</v>
      </c>
      <c r="C1" t="s">
        <v>678</v>
      </c>
      <c r="D1" t="s">
        <v>679</v>
      </c>
      <c r="E1" t="s">
        <v>680</v>
      </c>
      <c r="F1" t="s">
        <v>681</v>
      </c>
      <c r="G1"/>
      <c r="J1" t="s">
        <v>682</v>
      </c>
      <c r="K1" t="s">
        <v>640</v>
      </c>
      <c r="L1" t="s">
        <v>683</v>
      </c>
      <c r="M1" t="s">
        <v>684</v>
      </c>
      <c r="N1" t="s">
        <v>685</v>
      </c>
      <c r="O1" t="s">
        <v>161</v>
      </c>
      <c r="P1" t="s">
        <v>686</v>
      </c>
    </row>
    <row r="2" spans="1:16">
      <c r="A2" s="3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/>
      <c r="J2" t="s">
        <v>30</v>
      </c>
      <c r="K2" t="s">
        <v>35</v>
      </c>
      <c r="L2" t="s">
        <v>30</v>
      </c>
      <c r="M2" t="s">
        <v>30</v>
      </c>
      <c r="N2" t="s">
        <v>30</v>
      </c>
      <c r="O2" t="s">
        <v>161</v>
      </c>
      <c r="P2" t="s">
        <v>30</v>
      </c>
    </row>
    <row r="3" s="2" customFormat="1" ht="128" customHeight="1" spans="1:16">
      <c r="A3" s="4" t="s">
        <v>39</v>
      </c>
      <c r="B3" s="2" t="s">
        <v>161</v>
      </c>
      <c r="C3" s="2" t="s">
        <v>687</v>
      </c>
      <c r="D3" s="2" t="s">
        <v>688</v>
      </c>
      <c r="E3" s="2" t="s">
        <v>689</v>
      </c>
      <c r="F3" s="2" t="s">
        <v>690</v>
      </c>
      <c r="G3" s="2"/>
      <c r="J3" s="2" t="s">
        <v>691</v>
      </c>
      <c r="K3" s="2" t="s">
        <v>663</v>
      </c>
      <c r="L3" s="2" t="s">
        <v>692</v>
      </c>
      <c r="M3" s="2" t="s">
        <v>693</v>
      </c>
      <c r="N3" s="2" t="s">
        <v>694</v>
      </c>
      <c r="O3" s="2"/>
      <c r="P3" s="2" t="s">
        <v>695</v>
      </c>
    </row>
    <row r="4" spans="1:16">
      <c r="A4" s="4" t="s">
        <v>39</v>
      </c>
      <c r="B4" t="s">
        <v>59</v>
      </c>
      <c r="C4" t="s">
        <v>654</v>
      </c>
      <c r="D4" t="s">
        <v>696</v>
      </c>
      <c r="E4" t="s">
        <v>697</v>
      </c>
      <c r="F4" t="s">
        <v>698</v>
      </c>
      <c r="G4" t="s">
        <v>699</v>
      </c>
      <c r="H4" t="s">
        <v>700</v>
      </c>
      <c r="I4">
        <v>4</v>
      </c>
      <c r="J4" t="s">
        <v>701</v>
      </c>
      <c r="K4" t="s">
        <v>663</v>
      </c>
      <c r="L4" t="s">
        <v>702</v>
      </c>
      <c r="M4" t="s">
        <v>703</v>
      </c>
      <c r="N4" t="s">
        <v>704</v>
      </c>
      <c r="O4"/>
      <c r="P4" t="s">
        <v>705</v>
      </c>
    </row>
    <row r="5" spans="1:16">
      <c r="B5">
        <v>1001</v>
      </c>
      <c r="C5">
        <v>1001</v>
      </c>
      <c r="D5" t="b">
        <v>0</v>
      </c>
      <c r="E5">
        <f>SUM($F$5:F5)</f>
        <v>30</v>
      </c>
      <c r="F5">
        <v>30</v>
      </c>
      <c r="G5">
        <f>F5*10/60</f>
        <v>5</v>
      </c>
      <c r="H5">
        <f>E5*10/60</f>
        <v>5</v>
      </c>
      <c r="I5">
        <f>F5*$I$4/60</f>
        <v>2</v>
      </c>
      <c r="J5">
        <v>1</v>
      </c>
      <c r="K5" t="b">
        <v>1</v>
      </c>
      <c r="L5">
        <v>700101</v>
      </c>
      <c r="M5">
        <v>0</v>
      </c>
      <c r="N5">
        <v>0</v>
      </c>
      <c r="O5"/>
      <c r="P5">
        <v>-1000</v>
      </c>
    </row>
    <row r="6" spans="1:16">
      <c r="B6">
        <v>1002</v>
      </c>
      <c r="C6">
        <v>1002</v>
      </c>
      <c r="D6" t="b">
        <v>0</v>
      </c>
      <c r="E6">
        <f>SUM($F$5:F6)</f>
        <v>66</v>
      </c>
      <c r="F6">
        <v>36</v>
      </c>
      <c r="G6">
        <f t="shared" ref="G6:G16" si="0">F6*10/60</f>
        <v>6</v>
      </c>
      <c r="H6">
        <f t="shared" ref="H6:H16" si="1">E6*10/60</f>
        <v>11</v>
      </c>
      <c r="I6">
        <f t="shared" ref="I6:I16" si="2">F6*$I$4/60</f>
        <v>2.4</v>
      </c>
      <c r="J6">
        <v>1</v>
      </c>
      <c r="K6" t="b">
        <v>1</v>
      </c>
      <c r="L6">
        <v>700102</v>
      </c>
      <c r="M6">
        <v>0</v>
      </c>
      <c r="N6">
        <v>0</v>
      </c>
      <c r="O6"/>
      <c r="P6">
        <v>0</v>
      </c>
    </row>
    <row r="7" spans="1:16">
      <c r="B7">
        <v>1003</v>
      </c>
      <c r="C7">
        <v>2001</v>
      </c>
      <c r="D7" t="b">
        <v>0</v>
      </c>
      <c r="E7">
        <f>SUM($F$5:F7)</f>
        <v>114</v>
      </c>
      <c r="F7">
        <v>48</v>
      </c>
      <c r="G7">
        <f t="shared" si="0"/>
        <v>8</v>
      </c>
      <c r="H7">
        <f t="shared" si="1"/>
        <v>19</v>
      </c>
      <c r="I7">
        <f t="shared" si="2"/>
        <v>3.2</v>
      </c>
      <c r="J7">
        <v>1</v>
      </c>
      <c r="K7" t="b">
        <v>1</v>
      </c>
      <c r="L7">
        <v>0</v>
      </c>
      <c r="M7">
        <v>0</v>
      </c>
      <c r="N7">
        <v>0</v>
      </c>
      <c r="O7"/>
      <c r="P7">
        <v>0</v>
      </c>
    </row>
    <row r="8" spans="1:16">
      <c r="B8">
        <v>1004</v>
      </c>
      <c r="C8">
        <v>1001</v>
      </c>
      <c r="D8" t="b">
        <v>0</v>
      </c>
      <c r="E8">
        <f>SUM($F$5:F8)</f>
        <v>162</v>
      </c>
      <c r="F8">
        <v>48</v>
      </c>
      <c r="G8">
        <f t="shared" si="0"/>
        <v>8</v>
      </c>
      <c r="H8">
        <f t="shared" si="1"/>
        <v>27</v>
      </c>
      <c r="I8">
        <f t="shared" si="2"/>
        <v>3.2</v>
      </c>
      <c r="J8">
        <v>1</v>
      </c>
      <c r="K8" t="b">
        <v>1</v>
      </c>
      <c r="L8">
        <v>700104</v>
      </c>
      <c r="M8">
        <v>0</v>
      </c>
      <c r="N8">
        <v>0</v>
      </c>
      <c r="O8"/>
      <c r="P8">
        <v>0</v>
      </c>
    </row>
    <row r="9" spans="1:16">
      <c r="B9">
        <v>1005</v>
      </c>
      <c r="C9">
        <v>1002</v>
      </c>
      <c r="D9" t="b">
        <v>0</v>
      </c>
      <c r="E9">
        <f>SUM($F$5:F9)</f>
        <v>222</v>
      </c>
      <c r="F9">
        <v>60</v>
      </c>
      <c r="G9">
        <f t="shared" si="0"/>
        <v>10</v>
      </c>
      <c r="H9">
        <f t="shared" si="1"/>
        <v>37</v>
      </c>
      <c r="I9">
        <f t="shared" si="2"/>
        <v>4</v>
      </c>
      <c r="J9">
        <v>1</v>
      </c>
      <c r="K9" t="b">
        <v>1</v>
      </c>
      <c r="L9">
        <v>700105</v>
      </c>
      <c r="M9">
        <v>0</v>
      </c>
      <c r="N9">
        <v>0</v>
      </c>
      <c r="O9"/>
      <c r="P9">
        <v>0</v>
      </c>
    </row>
    <row r="10" spans="1:16">
      <c r="B10">
        <v>1006</v>
      </c>
      <c r="C10">
        <v>2001</v>
      </c>
      <c r="D10" t="b">
        <v>0</v>
      </c>
      <c r="E10">
        <f>SUM($F$5:F10)</f>
        <v>282</v>
      </c>
      <c r="F10">
        <v>60</v>
      </c>
      <c r="G10">
        <f t="shared" si="0"/>
        <v>10</v>
      </c>
      <c r="H10">
        <f t="shared" si="1"/>
        <v>47</v>
      </c>
      <c r="I10">
        <f t="shared" si="2"/>
        <v>4</v>
      </c>
      <c r="J10">
        <v>1</v>
      </c>
      <c r="K10" t="b">
        <v>1</v>
      </c>
      <c r="L10">
        <v>0</v>
      </c>
      <c r="M10">
        <v>0</v>
      </c>
      <c r="N10">
        <v>0</v>
      </c>
      <c r="O10"/>
      <c r="P10">
        <v>0</v>
      </c>
    </row>
    <row r="11" spans="1:16">
      <c r="B11">
        <v>1007</v>
      </c>
      <c r="C11">
        <v>1001</v>
      </c>
      <c r="D11" t="b">
        <v>0</v>
      </c>
      <c r="E11">
        <f>SUM($F$5:F11)</f>
        <v>354</v>
      </c>
      <c r="F11">
        <v>72</v>
      </c>
      <c r="G11">
        <f t="shared" si="0"/>
        <v>12</v>
      </c>
      <c r="H11">
        <f t="shared" si="1"/>
        <v>59</v>
      </c>
      <c r="I11">
        <f t="shared" si="2"/>
        <v>4.8</v>
      </c>
      <c r="J11">
        <v>1</v>
      </c>
      <c r="K11" t="b">
        <v>1</v>
      </c>
      <c r="L11">
        <v>700107</v>
      </c>
      <c r="M11">
        <v>0</v>
      </c>
      <c r="N11">
        <v>0</v>
      </c>
      <c r="O11"/>
      <c r="P11">
        <v>0</v>
      </c>
    </row>
    <row r="12" spans="1:16">
      <c r="B12">
        <v>1008</v>
      </c>
      <c r="C12">
        <v>1002</v>
      </c>
      <c r="D12" t="b">
        <v>0</v>
      </c>
      <c r="E12">
        <f>SUM($F$5:F12)</f>
        <v>426</v>
      </c>
      <c r="F12">
        <v>72</v>
      </c>
      <c r="G12">
        <f t="shared" si="0"/>
        <v>12</v>
      </c>
      <c r="H12">
        <f t="shared" si="1"/>
        <v>71</v>
      </c>
      <c r="I12">
        <f t="shared" si="2"/>
        <v>4.8</v>
      </c>
      <c r="J12">
        <v>1</v>
      </c>
      <c r="K12" t="b">
        <v>1</v>
      </c>
      <c r="L12">
        <v>700108</v>
      </c>
      <c r="M12">
        <v>0</v>
      </c>
      <c r="N12">
        <v>0</v>
      </c>
      <c r="O12"/>
      <c r="P12">
        <v>0</v>
      </c>
    </row>
    <row r="13" spans="1:16">
      <c r="B13">
        <v>1009</v>
      </c>
      <c r="C13">
        <v>2001</v>
      </c>
      <c r="D13" t="b">
        <v>0</v>
      </c>
      <c r="E13">
        <f>SUM($F$5:F13)</f>
        <v>516</v>
      </c>
      <c r="F13">
        <v>90</v>
      </c>
      <c r="G13">
        <f t="shared" si="0"/>
        <v>15</v>
      </c>
      <c r="H13">
        <f t="shared" si="1"/>
        <v>86</v>
      </c>
      <c r="I13">
        <f t="shared" si="2"/>
        <v>6</v>
      </c>
      <c r="J13">
        <v>1</v>
      </c>
      <c r="K13" t="b">
        <v>1</v>
      </c>
      <c r="L13">
        <v>0</v>
      </c>
      <c r="M13">
        <v>0</v>
      </c>
      <c r="N13">
        <v>0</v>
      </c>
      <c r="O13"/>
      <c r="P13">
        <v>0</v>
      </c>
    </row>
    <row r="14" spans="1:16">
      <c r="B14">
        <v>1010</v>
      </c>
      <c r="C14">
        <v>1001</v>
      </c>
      <c r="D14" t="b">
        <v>0</v>
      </c>
      <c r="E14">
        <f>SUM($F$5:F14)</f>
        <v>606</v>
      </c>
      <c r="F14">
        <v>90</v>
      </c>
      <c r="G14">
        <f t="shared" si="0"/>
        <v>15</v>
      </c>
      <c r="H14">
        <f t="shared" si="1"/>
        <v>101</v>
      </c>
      <c r="I14">
        <f t="shared" si="2"/>
        <v>6</v>
      </c>
      <c r="J14">
        <v>1</v>
      </c>
      <c r="K14" t="b">
        <v>1</v>
      </c>
      <c r="L14">
        <v>700110</v>
      </c>
      <c r="M14">
        <v>0</v>
      </c>
      <c r="N14">
        <v>0</v>
      </c>
      <c r="O14"/>
      <c r="P14">
        <v>0</v>
      </c>
    </row>
    <row r="15" spans="1:16">
      <c r="B15">
        <v>1011</v>
      </c>
      <c r="C15">
        <v>1002</v>
      </c>
      <c r="D15" t="b">
        <v>0</v>
      </c>
      <c r="E15">
        <f>SUM($F$5:F15)</f>
        <v>696</v>
      </c>
      <c r="F15">
        <v>90</v>
      </c>
      <c r="G15">
        <f t="shared" si="0"/>
        <v>15</v>
      </c>
      <c r="H15">
        <f t="shared" si="1"/>
        <v>116</v>
      </c>
      <c r="I15">
        <f t="shared" si="2"/>
        <v>6</v>
      </c>
      <c r="J15">
        <v>1</v>
      </c>
      <c r="K15" t="b">
        <v>1</v>
      </c>
      <c r="L15">
        <v>700111</v>
      </c>
      <c r="M15">
        <v>0</v>
      </c>
      <c r="N15">
        <v>0</v>
      </c>
      <c r="O15"/>
      <c r="P15">
        <v>0</v>
      </c>
    </row>
    <row r="16" spans="1:16">
      <c r="B16">
        <v>1012</v>
      </c>
      <c r="C16">
        <v>2001</v>
      </c>
      <c r="D16" t="b">
        <v>0</v>
      </c>
      <c r="E16">
        <f>SUM($F$5:F16)</f>
        <v>786</v>
      </c>
      <c r="F16">
        <v>90</v>
      </c>
      <c r="G16">
        <f t="shared" si="0"/>
        <v>15</v>
      </c>
      <c r="H16">
        <f t="shared" si="1"/>
        <v>131</v>
      </c>
      <c r="I16">
        <f t="shared" si="2"/>
        <v>6</v>
      </c>
      <c r="J16">
        <v>1</v>
      </c>
      <c r="K16" t="b">
        <v>1</v>
      </c>
      <c r="L16">
        <v>0</v>
      </c>
      <c r="M16">
        <v>0</v>
      </c>
      <c r="N16">
        <v>0</v>
      </c>
      <c r="O16"/>
      <c r="P16">
        <v>0</v>
      </c>
    </row>
    <row r="17" spans="1:16">
      <c r="A17" t="s">
        <v>39</v>
      </c>
      <c r="B17" t="s">
        <v>161</v>
      </c>
      <c r="C17" t="s">
        <v>161</v>
      </c>
      <c r="D17" t="s">
        <v>161</v>
      </c>
      <c r="E17" t="s">
        <v>161</v>
      </c>
      <c r="F17" t="s">
        <v>161</v>
      </c>
      <c r="G17"/>
      <c r="J17" t="s">
        <v>161</v>
      </c>
      <c r="K17" t="s">
        <v>161</v>
      </c>
      <c r="L17" t="s">
        <v>161</v>
      </c>
      <c r="M17" t="s">
        <v>161</v>
      </c>
      <c r="N17" t="s">
        <v>161</v>
      </c>
      <c r="O17"/>
      <c r="P17" t="s">
        <v>161</v>
      </c>
    </row>
    <row r="18" spans="1:16">
      <c r="B18">
        <v>2001</v>
      </c>
      <c r="C18">
        <v>1001</v>
      </c>
      <c r="D18" t="b">
        <v>1</v>
      </c>
      <c r="E18">
        <v>780</v>
      </c>
      <c r="F18">
        <v>180</v>
      </c>
      <c r="G18"/>
      <c r="J18">
        <v>-1</v>
      </c>
      <c r="K18" t="b">
        <v>1</v>
      </c>
      <c r="L18">
        <v>701101</v>
      </c>
      <c r="M18">
        <v>360</v>
      </c>
      <c r="N18">
        <v>2</v>
      </c>
      <c r="O18"/>
      <c r="P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678</v>
      </c>
      <c r="D1" t="s">
        <v>706</v>
      </c>
      <c r="E1" t="s">
        <v>707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708</v>
      </c>
      <c r="C3" s="2" t="s">
        <v>687</v>
      </c>
      <c r="D3" s="2" t="s">
        <v>709</v>
      </c>
      <c r="E3" s="2" t="s">
        <v>710</v>
      </c>
      <c r="F3" s="18"/>
      <c r="G3" s="2" t="s">
        <v>663</v>
      </c>
    </row>
    <row r="4" spans="1:8">
      <c r="A4" t="s">
        <v>39</v>
      </c>
      <c r="B4" t="s">
        <v>59</v>
      </c>
      <c r="C4" t="s">
        <v>654</v>
      </c>
      <c r="D4" t="s">
        <v>64</v>
      </c>
      <c r="E4" t="s">
        <v>711</v>
      </c>
      <c r="G4" t="s">
        <v>663</v>
      </c>
      <c r="H4" t="s">
        <v>712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713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714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715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716</v>
      </c>
      <c r="D1" t="s">
        <v>707</v>
      </c>
      <c r="E1" t="s">
        <v>717</v>
      </c>
      <c r="F1" t="s">
        <v>718</v>
      </c>
      <c r="G1" t="s">
        <v>719</v>
      </c>
      <c r="H1" t="s">
        <v>720</v>
      </c>
      <c r="I1" t="s">
        <v>640</v>
      </c>
      <c r="J1" t="s">
        <v>721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722</v>
      </c>
      <c r="D3" s="2" t="s">
        <v>723</v>
      </c>
      <c r="E3" s="2" t="s">
        <v>724</v>
      </c>
      <c r="F3" s="2" t="s">
        <v>725</v>
      </c>
      <c r="G3" s="2" t="s">
        <v>725</v>
      </c>
      <c r="H3" s="2" t="s">
        <v>726</v>
      </c>
      <c r="I3" s="2" t="s">
        <v>663</v>
      </c>
      <c r="J3" s="2" t="s">
        <v>727</v>
      </c>
    </row>
    <row r="4" spans="1:11">
      <c r="A4" t="s">
        <v>39</v>
      </c>
      <c r="B4" t="s">
        <v>59</v>
      </c>
      <c r="C4" t="s">
        <v>728</v>
      </c>
      <c r="D4" t="s">
        <v>729</v>
      </c>
      <c r="E4" t="s">
        <v>730</v>
      </c>
      <c r="F4" t="s">
        <v>731</v>
      </c>
      <c r="G4" t="s">
        <v>731</v>
      </c>
      <c r="H4" t="s">
        <v>732</v>
      </c>
      <c r="I4" t="s">
        <v>663</v>
      </c>
      <c r="J4" t="s">
        <v>733</v>
      </c>
      <c r="K4" t="s">
        <v>712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734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734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734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734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734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734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734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735</v>
      </c>
      <c r="F1" t="s">
        <v>736</v>
      </c>
      <c r="G1" t="s">
        <v>737</v>
      </c>
      <c r="H1" t="s">
        <v>738</v>
      </c>
      <c r="I1" t="s">
        <v>739</v>
      </c>
      <c r="K1" t="s">
        <v>740</v>
      </c>
      <c r="L1" t="s">
        <v>741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742</v>
      </c>
      <c r="D3" s="2"/>
      <c r="E3" s="2" t="s">
        <v>743</v>
      </c>
      <c r="G3" s="2" t="s">
        <v>744</v>
      </c>
      <c r="H3" s="2" t="s">
        <v>745</v>
      </c>
      <c r="I3" s="2" t="s">
        <v>744</v>
      </c>
      <c r="K3" s="2" t="s">
        <v>746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747</v>
      </c>
      <c r="F4" t="s">
        <v>748</v>
      </c>
      <c r="G4" t="s">
        <v>749</v>
      </c>
      <c r="H4" t="s">
        <v>750</v>
      </c>
      <c r="I4" t="s">
        <v>751</v>
      </c>
      <c r="J4" t="s">
        <v>712</v>
      </c>
      <c r="K4" t="s">
        <v>752</v>
      </c>
      <c r="L4" t="s">
        <v>753</v>
      </c>
    </row>
    <row r="5" spans="1:12">
      <c r="B5">
        <v>1001</v>
      </c>
      <c r="C5" t="s">
        <v>514</v>
      </c>
      <c r="D5" t="s">
        <v>99</v>
      </c>
      <c r="E5" t="s">
        <v>754</v>
      </c>
      <c r="F5" t="s">
        <v>755</v>
      </c>
      <c r="H5" t="s">
        <v>756</v>
      </c>
      <c r="K5" t="s">
        <v>757</v>
      </c>
    </row>
    <row r="6" spans="1:12">
      <c r="B6">
        <v>1002</v>
      </c>
      <c r="C6" s="16" t="s">
        <v>520</v>
      </c>
      <c r="D6" s="16" t="s">
        <v>110</v>
      </c>
      <c r="E6" t="s">
        <v>758</v>
      </c>
      <c r="F6" t="s">
        <v>755</v>
      </c>
      <c r="H6" t="s">
        <v>759</v>
      </c>
      <c r="K6" t="s">
        <v>760</v>
      </c>
    </row>
    <row r="7" spans="1:12">
      <c r="B7">
        <v>1003</v>
      </c>
      <c r="C7" s="16" t="s">
        <v>527</v>
      </c>
      <c r="D7" s="16" t="s">
        <v>105</v>
      </c>
      <c r="E7" t="s">
        <v>761</v>
      </c>
      <c r="F7" t="s">
        <v>755</v>
      </c>
      <c r="H7" t="s">
        <v>762</v>
      </c>
      <c r="K7" t="s">
        <v>763</v>
      </c>
    </row>
    <row r="8" spans="1:12">
      <c r="B8">
        <v>1004</v>
      </c>
      <c r="C8" s="16" t="s">
        <v>534</v>
      </c>
      <c r="D8" s="16" t="s">
        <v>121</v>
      </c>
      <c r="E8" t="s">
        <v>764</v>
      </c>
      <c r="F8" t="s">
        <v>755</v>
      </c>
      <c r="H8" t="s">
        <v>765</v>
      </c>
      <c r="K8" t="s">
        <v>766</v>
      </c>
    </row>
    <row r="9" spans="1:12">
      <c r="B9">
        <v>1005</v>
      </c>
      <c r="C9" s="16" t="s">
        <v>541</v>
      </c>
      <c r="D9" s="16" t="s">
        <v>140</v>
      </c>
      <c r="E9" t="s">
        <v>767</v>
      </c>
      <c r="F9" t="s">
        <v>755</v>
      </c>
      <c r="H9" t="s">
        <v>768</v>
      </c>
      <c r="K9" t="s">
        <v>757</v>
      </c>
    </row>
    <row r="10" spans="1:12">
      <c r="B10">
        <v>1006</v>
      </c>
      <c r="C10" s="16" t="s">
        <v>548</v>
      </c>
      <c r="D10" s="16" t="s">
        <v>92</v>
      </c>
      <c r="E10" t="s">
        <v>769</v>
      </c>
      <c r="F10" t="s">
        <v>755</v>
      </c>
      <c r="H10" t="s">
        <v>770</v>
      </c>
      <c r="K10" t="s">
        <v>760</v>
      </c>
    </row>
    <row r="11" spans="1:12">
      <c r="B11">
        <v>2001</v>
      </c>
      <c r="C11" s="16" t="s">
        <v>555</v>
      </c>
      <c r="D11" s="16" t="s">
        <v>507</v>
      </c>
      <c r="E11" t="s">
        <v>769</v>
      </c>
      <c r="F11" t="s">
        <v>755</v>
      </c>
      <c r="H11" t="s">
        <v>770</v>
      </c>
      <c r="J11" t="s">
        <v>771</v>
      </c>
    </row>
    <row r="12" spans="1:12">
      <c r="B12">
        <v>2002</v>
      </c>
      <c r="C12" s="16" t="s">
        <v>562</v>
      </c>
      <c r="D12" s="16" t="s">
        <v>563</v>
      </c>
      <c r="E12" t="s">
        <v>769</v>
      </c>
      <c r="F12" t="s">
        <v>755</v>
      </c>
      <c r="H12" t="s">
        <v>770</v>
      </c>
      <c r="J12" t="s">
        <v>771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772</v>
      </c>
      <c r="C1" t="s">
        <v>773</v>
      </c>
      <c r="D1" t="s">
        <v>774</v>
      </c>
      <c r="F1" t="s">
        <v>775</v>
      </c>
      <c r="G1" t="s">
        <v>776</v>
      </c>
      <c r="H1" t="s">
        <v>777</v>
      </c>
      <c r="I1" t="s">
        <v>778</v>
      </c>
    </row>
    <row r="2" spans="1:10">
      <c r="A2" t="s">
        <v>29</v>
      </c>
      <c r="B2" t="s">
        <v>779</v>
      </c>
      <c r="C2" t="s">
        <v>30</v>
      </c>
      <c r="D2" t="s">
        <v>780</v>
      </c>
      <c r="F2" t="s">
        <v>644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781</v>
      </c>
      <c r="C3" s="2" t="s">
        <v>782</v>
      </c>
      <c r="D3" s="2" t="s">
        <v>783</v>
      </c>
      <c r="F3" s="2" t="s">
        <v>784</v>
      </c>
      <c r="G3" s="2" t="s">
        <v>785</v>
      </c>
      <c r="H3" s="2" t="s">
        <v>786</v>
      </c>
      <c r="I3" s="2" t="s">
        <v>787</v>
      </c>
    </row>
    <row r="4" spans="1:10">
      <c r="A4" t="s">
        <v>39</v>
      </c>
      <c r="B4" t="s">
        <v>788</v>
      </c>
      <c r="C4" t="s">
        <v>789</v>
      </c>
      <c r="D4" t="s">
        <v>790</v>
      </c>
      <c r="E4" t="s">
        <v>791</v>
      </c>
      <c r="F4" t="s">
        <v>792</v>
      </c>
      <c r="G4" t="s">
        <v>793</v>
      </c>
      <c r="H4" t="s">
        <v>794</v>
      </c>
      <c r="I4" t="s">
        <v>795</v>
      </c>
      <c r="J4" t="s">
        <v>791</v>
      </c>
    </row>
    <row r="6" spans="1:10">
      <c r="B6">
        <v>9001</v>
      </c>
      <c r="C6">
        <v>30</v>
      </c>
      <c r="D6" t="s">
        <v>796</v>
      </c>
      <c r="E6" t="str">
        <f>LOOKUP(B6,Item!B:B,Item!H:H)</f>
        <v>史诗</v>
      </c>
      <c r="F6">
        <v>0.9</v>
      </c>
      <c r="G6" t="s">
        <v>797</v>
      </c>
      <c r="H6" t="s">
        <v>798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796</v>
      </c>
      <c r="E7" t="str">
        <f>LOOKUP(B7,Item!B:B,Item!H:H)</f>
        <v>稀有</v>
      </c>
      <c r="F7">
        <v>0.8</v>
      </c>
      <c r="G7" t="s">
        <v>797</v>
      </c>
      <c r="H7" t="s">
        <v>798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796</v>
      </c>
      <c r="E8" t="str">
        <f>LOOKUP(B8,Item!B:B,Item!H:H)</f>
        <v>稀有</v>
      </c>
      <c r="F8">
        <v>0.8</v>
      </c>
      <c r="G8" t="s">
        <v>797</v>
      </c>
      <c r="H8" t="s">
        <v>798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796</v>
      </c>
      <c r="E9" t="str">
        <f>LOOKUP(B9,Item!B:B,Item!H:H)</f>
        <v>史诗</v>
      </c>
      <c r="F9">
        <v>0.9</v>
      </c>
      <c r="G9" t="s">
        <v>797</v>
      </c>
      <c r="H9" t="s">
        <v>798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796</v>
      </c>
      <c r="E10" t="str">
        <f>LOOKUP(B10,Item!B:B,Item!H:H)</f>
        <v>稀有</v>
      </c>
      <c r="F10">
        <v>0.8</v>
      </c>
      <c r="G10" t="s">
        <v>797</v>
      </c>
      <c r="H10" t="s">
        <v>798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796</v>
      </c>
      <c r="E11" t="str">
        <f>LOOKUP(B11,Item!B:B,Item!H:H)</f>
        <v>稀有</v>
      </c>
      <c r="F11">
        <v>0.8</v>
      </c>
      <c r="G11" t="s">
        <v>797</v>
      </c>
      <c r="H11" t="s">
        <v>798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796</v>
      </c>
      <c r="E12" t="str">
        <f>LOOKUP(B12,Item!B:B,Item!H:H)</f>
        <v>稀有</v>
      </c>
      <c r="F12">
        <v>0.8</v>
      </c>
      <c r="G12" t="s">
        <v>797</v>
      </c>
      <c r="H12" t="s">
        <v>798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796</v>
      </c>
      <c r="E13" t="str">
        <f>LOOKUP(B13,Item!B:B,Item!H:H)</f>
        <v>史诗</v>
      </c>
      <c r="F13">
        <v>0.9</v>
      </c>
      <c r="G13" t="s">
        <v>797</v>
      </c>
      <c r="H13" t="s">
        <v>798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796</v>
      </c>
      <c r="E14" t="str">
        <f>LOOKUP(B14,Item!B:B,Item!H:H)</f>
        <v>优秀</v>
      </c>
      <c r="F14">
        <v>0.7</v>
      </c>
      <c r="G14" t="s">
        <v>797</v>
      </c>
      <c r="H14" t="s">
        <v>798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796</v>
      </c>
      <c r="E15" t="str">
        <f>LOOKUP(B15,Item!B:B,Item!H:H)</f>
        <v>史诗</v>
      </c>
      <c r="F15">
        <v>0.9</v>
      </c>
      <c r="G15" t="s">
        <v>797</v>
      </c>
      <c r="H15" t="s">
        <v>798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796</v>
      </c>
      <c r="E16" t="str">
        <f>LOOKUP(B16,Item!B:B,Item!H:H)</f>
        <v>传说</v>
      </c>
      <c r="F16">
        <v>1</v>
      </c>
      <c r="G16" t="s">
        <v>797</v>
      </c>
      <c r="H16" t="s">
        <v>798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799</v>
      </c>
      <c r="D1" t="s">
        <v>800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801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802</v>
      </c>
      <c r="E3" t="s">
        <v>803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804</v>
      </c>
      <c r="D5" t="s">
        <v>139</v>
      </c>
      <c r="E5">
        <v>2</v>
      </c>
    </row>
    <row r="6" spans="1:5">
      <c r="B6">
        <v>1003</v>
      </c>
      <c r="C6" t="s">
        <v>805</v>
      </c>
      <c r="D6" t="s">
        <v>190</v>
      </c>
      <c r="E6">
        <v>3</v>
      </c>
    </row>
    <row r="7" spans="1:5">
      <c r="B7">
        <v>1004</v>
      </c>
      <c r="C7" t="s">
        <v>806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807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808</v>
      </c>
      <c r="D1" t="s">
        <v>809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810</v>
      </c>
      <c r="D3" t="s">
        <v>811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812</v>
      </c>
      <c r="D1" t="s">
        <v>7</v>
      </c>
      <c r="E1" t="s">
        <v>813</v>
      </c>
      <c r="F1" t="s">
        <v>640</v>
      </c>
      <c r="G1" t="s">
        <v>814</v>
      </c>
      <c r="H1" t="s">
        <v>815</v>
      </c>
      <c r="I1" t="s">
        <v>816</v>
      </c>
      <c r="J1" t="s">
        <v>817</v>
      </c>
      <c r="K1" t="s">
        <v>818</v>
      </c>
      <c r="L1" t="s">
        <v>819</v>
      </c>
      <c r="M1" t="s">
        <v>820</v>
      </c>
      <c r="N1" t="s">
        <v>821</v>
      </c>
      <c r="O1" t="s">
        <v>822</v>
      </c>
      <c r="P1" t="s">
        <v>823</v>
      </c>
      <c r="Q1" t="s">
        <v>824</v>
      </c>
      <c r="R1" t="s">
        <v>825</v>
      </c>
      <c r="S1" t="s">
        <v>826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827</v>
      </c>
      <c r="M2" t="s">
        <v>828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829</v>
      </c>
      <c r="C3" s="2" t="s">
        <v>830</v>
      </c>
      <c r="D3" s="2" t="s">
        <v>831</v>
      </c>
      <c r="E3" s="2" t="s">
        <v>832</v>
      </c>
      <c r="F3" s="2" t="s">
        <v>833</v>
      </c>
      <c r="G3" s="2" t="s">
        <v>834</v>
      </c>
      <c r="H3" s="2" t="s">
        <v>835</v>
      </c>
      <c r="I3" s="2" t="s">
        <v>836</v>
      </c>
      <c r="J3" s="2" t="s">
        <v>837</v>
      </c>
      <c r="K3" s="2" t="s">
        <v>838</v>
      </c>
      <c r="L3" s="2" t="s">
        <v>839</v>
      </c>
      <c r="M3" s="2" t="s">
        <v>840</v>
      </c>
      <c r="N3" s="2" t="s">
        <v>841</v>
      </c>
      <c r="O3" s="2" t="s">
        <v>842</v>
      </c>
      <c r="P3" s="2" t="s">
        <v>843</v>
      </c>
      <c r="Q3" s="2" t="s">
        <v>844</v>
      </c>
      <c r="R3" s="2" t="s">
        <v>845</v>
      </c>
      <c r="S3" s="2" t="s">
        <v>846</v>
      </c>
    </row>
    <row r="4" spans="1:19">
      <c r="A4" t="s">
        <v>39</v>
      </c>
      <c r="B4" t="s">
        <v>847</v>
      </c>
      <c r="C4" t="s">
        <v>848</v>
      </c>
      <c r="D4" t="s">
        <v>849</v>
      </c>
      <c r="E4" t="s">
        <v>850</v>
      </c>
      <c r="F4" t="s">
        <v>851</v>
      </c>
      <c r="G4" t="s">
        <v>852</v>
      </c>
      <c r="H4" t="s">
        <v>853</v>
      </c>
      <c r="I4" t="s">
        <v>854</v>
      </c>
      <c r="J4" t="s">
        <v>855</v>
      </c>
      <c r="K4" t="s">
        <v>856</v>
      </c>
      <c r="L4" t="s">
        <v>857</v>
      </c>
      <c r="M4" t="s">
        <v>858</v>
      </c>
      <c r="N4" t="s">
        <v>859</v>
      </c>
      <c r="O4" t="s">
        <v>860</v>
      </c>
      <c r="P4" t="s">
        <v>861</v>
      </c>
      <c r="Q4" t="s">
        <v>862</v>
      </c>
      <c r="R4" t="s">
        <v>863</v>
      </c>
      <c r="S4" t="s">
        <v>864</v>
      </c>
    </row>
    <row r="5" spans="1:19">
      <c r="B5">
        <v>1001</v>
      </c>
      <c r="C5" t="s">
        <v>865</v>
      </c>
      <c r="D5">
        <v>30</v>
      </c>
      <c r="E5" t="b">
        <v>0</v>
      </c>
      <c r="F5" t="b">
        <v>0</v>
      </c>
      <c r="G5" t="s">
        <v>866</v>
      </c>
      <c r="H5" t="s">
        <v>867</v>
      </c>
      <c r="I5" t="s">
        <v>868</v>
      </c>
      <c r="J5" t="s">
        <v>869</v>
      </c>
      <c r="K5" t="s">
        <v>870</v>
      </c>
      <c r="L5" t="s">
        <v>871</v>
      </c>
      <c r="M5" t="s">
        <v>872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873</v>
      </c>
      <c r="D6">
        <v>10</v>
      </c>
      <c r="E6" t="b">
        <v>1</v>
      </c>
      <c r="F6" t="b">
        <v>0</v>
      </c>
      <c r="G6" t="s">
        <v>874</v>
      </c>
      <c r="H6" t="s">
        <v>875</v>
      </c>
      <c r="I6" t="s">
        <v>868</v>
      </c>
      <c r="J6" t="s">
        <v>876</v>
      </c>
      <c r="K6" t="s">
        <v>876</v>
      </c>
      <c r="L6" t="s">
        <v>871</v>
      </c>
      <c r="M6" t="s">
        <v>877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878</v>
      </c>
      <c r="D7">
        <v>20</v>
      </c>
      <c r="E7" t="b">
        <v>0</v>
      </c>
      <c r="F7" t="b">
        <v>0</v>
      </c>
      <c r="G7" t="s">
        <v>879</v>
      </c>
      <c r="H7" t="s">
        <v>880</v>
      </c>
      <c r="I7" t="s">
        <v>868</v>
      </c>
      <c r="J7" t="s">
        <v>881</v>
      </c>
      <c r="K7" t="s">
        <v>882</v>
      </c>
      <c r="L7" t="s">
        <v>871</v>
      </c>
      <c r="M7" t="s">
        <v>877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883</v>
      </c>
      <c r="D8">
        <v>40</v>
      </c>
      <c r="E8" t="b">
        <v>0</v>
      </c>
      <c r="F8" t="b">
        <v>0</v>
      </c>
      <c r="G8" t="s">
        <v>884</v>
      </c>
      <c r="H8" t="s">
        <v>885</v>
      </c>
      <c r="I8" t="s">
        <v>868</v>
      </c>
      <c r="J8" t="s">
        <v>886</v>
      </c>
      <c r="K8" t="s">
        <v>886</v>
      </c>
      <c r="L8" t="s">
        <v>871</v>
      </c>
      <c r="M8" t="s">
        <v>872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865</v>
      </c>
      <c r="D9">
        <v>60</v>
      </c>
      <c r="E9" t="b">
        <v>0</v>
      </c>
      <c r="F9" t="b">
        <v>1</v>
      </c>
      <c r="G9" t="s">
        <v>866</v>
      </c>
      <c r="H9" t="s">
        <v>867</v>
      </c>
      <c r="I9" t="s">
        <v>868</v>
      </c>
      <c r="J9" t="s">
        <v>869</v>
      </c>
      <c r="K9" t="s">
        <v>870</v>
      </c>
      <c r="L9" t="s">
        <v>871</v>
      </c>
      <c r="M9" t="s">
        <v>872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873</v>
      </c>
      <c r="D10">
        <v>80</v>
      </c>
      <c r="E10" t="b">
        <v>1</v>
      </c>
      <c r="F10" t="b">
        <v>1</v>
      </c>
      <c r="G10" t="s">
        <v>874</v>
      </c>
      <c r="H10" t="s">
        <v>875</v>
      </c>
      <c r="I10" t="s">
        <v>868</v>
      </c>
      <c r="J10" t="s">
        <v>876</v>
      </c>
      <c r="K10" t="s">
        <v>876</v>
      </c>
      <c r="L10" t="s">
        <v>871</v>
      </c>
      <c r="M10" t="s">
        <v>877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878</v>
      </c>
      <c r="D11">
        <v>100</v>
      </c>
      <c r="E11" t="b">
        <v>0</v>
      </c>
      <c r="F11" t="b">
        <v>1</v>
      </c>
      <c r="G11" t="s">
        <v>879</v>
      </c>
      <c r="H11" t="s">
        <v>880</v>
      </c>
      <c r="I11" t="s">
        <v>868</v>
      </c>
      <c r="J11" t="s">
        <v>881</v>
      </c>
      <c r="K11" t="s">
        <v>882</v>
      </c>
      <c r="L11" t="s">
        <v>871</v>
      </c>
      <c r="M11" t="s">
        <v>877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883</v>
      </c>
      <c r="D12">
        <v>120</v>
      </c>
      <c r="E12" t="b">
        <v>0</v>
      </c>
      <c r="F12" t="b">
        <v>1</v>
      </c>
      <c r="G12" t="s">
        <v>884</v>
      </c>
      <c r="H12" t="s">
        <v>885</v>
      </c>
      <c r="I12" t="s">
        <v>868</v>
      </c>
      <c r="J12" t="s">
        <v>886</v>
      </c>
      <c r="K12" t="s">
        <v>886</v>
      </c>
      <c r="L12" t="s">
        <v>871</v>
      </c>
      <c r="M12" t="s">
        <v>872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17" workbookViewId="0">
      <selection activeCell="B47" sqref="B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812</v>
      </c>
      <c r="E1" t="s">
        <v>887</v>
      </c>
      <c r="F1" t="s">
        <v>2</v>
      </c>
      <c r="G1" t="s">
        <v>888</v>
      </c>
      <c r="H1" t="s">
        <v>889</v>
      </c>
      <c r="I1" t="s">
        <v>890</v>
      </c>
      <c r="J1" t="s">
        <v>891</v>
      </c>
      <c r="K1" t="s">
        <v>892</v>
      </c>
      <c r="L1" t="s">
        <v>893</v>
      </c>
      <c r="M1" t="s">
        <v>894</v>
      </c>
      <c r="N1" t="s">
        <v>895</v>
      </c>
      <c r="O1" t="s">
        <v>896</v>
      </c>
      <c r="P1" t="s">
        <v>640</v>
      </c>
      <c r="Q1" t="s">
        <v>897</v>
      </c>
      <c r="R1" t="s">
        <v>898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899</v>
      </c>
      <c r="C3" s="2" t="s">
        <v>900</v>
      </c>
      <c r="E3" s="2" t="s">
        <v>901</v>
      </c>
      <c r="F3" s="14" t="s">
        <v>902</v>
      </c>
      <c r="G3" s="2" t="s">
        <v>52</v>
      </c>
      <c r="H3" s="15" t="s">
        <v>903</v>
      </c>
      <c r="I3" s="2" t="s">
        <v>904</v>
      </c>
      <c r="J3" s="2" t="s">
        <v>905</v>
      </c>
      <c r="K3" s="2" t="s">
        <v>906</v>
      </c>
      <c r="L3" s="2" t="s">
        <v>907</v>
      </c>
      <c r="M3" s="2" t="s">
        <v>908</v>
      </c>
      <c r="N3" s="2" t="s">
        <v>909</v>
      </c>
      <c r="O3" s="2" t="s">
        <v>910</v>
      </c>
      <c r="P3" s="2" t="s">
        <v>911</v>
      </c>
      <c r="Q3" s="2" t="s">
        <v>912</v>
      </c>
      <c r="R3" s="2" t="s">
        <v>913</v>
      </c>
    </row>
    <row r="4" spans="1:18">
      <c r="A4" t="s">
        <v>39</v>
      </c>
      <c r="B4" t="s">
        <v>914</v>
      </c>
      <c r="C4" t="s">
        <v>848</v>
      </c>
      <c r="D4" t="s">
        <v>915</v>
      </c>
      <c r="E4" t="s">
        <v>916</v>
      </c>
      <c r="F4" t="s">
        <v>917</v>
      </c>
      <c r="G4" t="s">
        <v>79</v>
      </c>
      <c r="H4" t="s">
        <v>918</v>
      </c>
      <c r="I4" t="s">
        <v>919</v>
      </c>
      <c r="J4" t="s">
        <v>81</v>
      </c>
      <c r="K4" t="s">
        <v>920</v>
      </c>
      <c r="L4" t="s">
        <v>921</v>
      </c>
      <c r="M4" t="s">
        <v>922</v>
      </c>
      <c r="N4" t="s">
        <v>83</v>
      </c>
      <c r="O4" t="s">
        <v>923</v>
      </c>
      <c r="P4" t="s">
        <v>851</v>
      </c>
      <c r="Q4" t="s">
        <v>924</v>
      </c>
      <c r="R4" t="s">
        <v>925</v>
      </c>
    </row>
    <row r="5" spans="1:18">
      <c r="A5" t="s">
        <v>161</v>
      </c>
      <c r="B5">
        <v>401001</v>
      </c>
      <c r="C5" t="s">
        <v>926</v>
      </c>
      <c r="D5" t="s">
        <v>927</v>
      </c>
      <c r="E5" t="s">
        <v>96</v>
      </c>
      <c r="F5" t="s">
        <v>928</v>
      </c>
      <c r="G5" t="s">
        <v>929</v>
      </c>
      <c r="H5" t="s">
        <v>930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931</v>
      </c>
      <c r="D6" t="s">
        <v>932</v>
      </c>
      <c r="E6" t="s">
        <v>96</v>
      </c>
      <c r="F6" t="s">
        <v>933</v>
      </c>
      <c r="G6" t="s">
        <v>934</v>
      </c>
      <c r="H6" t="s">
        <v>930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935</v>
      </c>
      <c r="D7" t="s">
        <v>936</v>
      </c>
      <c r="E7" t="s">
        <v>96</v>
      </c>
      <c r="F7" t="s">
        <v>937</v>
      </c>
      <c r="G7" t="s">
        <v>938</v>
      </c>
      <c r="H7" t="s">
        <v>930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939</v>
      </c>
      <c r="D8" t="s">
        <v>940</v>
      </c>
      <c r="E8" t="s">
        <v>96</v>
      </c>
      <c r="F8" t="s">
        <v>941</v>
      </c>
      <c r="G8" t="s">
        <v>942</v>
      </c>
      <c r="H8" t="s">
        <v>930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943</v>
      </c>
      <c r="D9" t="s">
        <v>944</v>
      </c>
      <c r="E9" t="s">
        <v>96</v>
      </c>
      <c r="F9" t="s">
        <v>928</v>
      </c>
      <c r="G9" t="s">
        <v>929</v>
      </c>
      <c r="H9" t="s">
        <v>930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945</v>
      </c>
      <c r="D10" t="s">
        <v>946</v>
      </c>
      <c r="E10" t="s">
        <v>96</v>
      </c>
      <c r="F10" t="s">
        <v>933</v>
      </c>
      <c r="G10" t="s">
        <v>934</v>
      </c>
      <c r="H10" t="s">
        <v>930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947</v>
      </c>
      <c r="D11" t="s">
        <v>948</v>
      </c>
      <c r="E11" t="s">
        <v>96</v>
      </c>
      <c r="F11" t="s">
        <v>937</v>
      </c>
      <c r="G11" t="s">
        <v>938</v>
      </c>
      <c r="H11" t="s">
        <v>930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949</v>
      </c>
      <c r="D12" t="s">
        <v>950</v>
      </c>
      <c r="E12" t="s">
        <v>96</v>
      </c>
      <c r="F12" t="s">
        <v>941</v>
      </c>
      <c r="G12" t="s">
        <v>942</v>
      </c>
      <c r="H12" t="s">
        <v>930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951</v>
      </c>
    </row>
    <row r="14" spans="1:18">
      <c r="A14" t="s">
        <v>161</v>
      </c>
      <c r="B14">
        <v>402001</v>
      </c>
      <c r="C14" t="s">
        <v>952</v>
      </c>
      <c r="D14" t="s">
        <v>953</v>
      </c>
      <c r="E14" t="s">
        <v>96</v>
      </c>
      <c r="F14" t="s">
        <v>954</v>
      </c>
      <c r="G14" t="s">
        <v>955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956</v>
      </c>
      <c r="D15" t="s">
        <v>957</v>
      </c>
      <c r="E15" t="s">
        <v>96</v>
      </c>
      <c r="F15" t="s">
        <v>958</v>
      </c>
      <c r="G15" t="s">
        <v>959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960</v>
      </c>
      <c r="D16" t="s">
        <v>961</v>
      </c>
      <c r="E16" t="s">
        <v>96</v>
      </c>
      <c r="F16" t="s">
        <v>962</v>
      </c>
      <c r="G16" t="s">
        <v>963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964</v>
      </c>
    </row>
    <row r="18" spans="1:18">
      <c r="A18" t="s">
        <v>161</v>
      </c>
      <c r="B18">
        <v>403001</v>
      </c>
      <c r="C18" t="s">
        <v>965</v>
      </c>
      <c r="D18" t="s">
        <v>966</v>
      </c>
      <c r="E18" t="s">
        <v>967</v>
      </c>
      <c r="F18" t="s">
        <v>968</v>
      </c>
      <c r="G18" t="s">
        <v>969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970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971</v>
      </c>
      <c r="D19" t="s">
        <v>972</v>
      </c>
      <c r="E19" t="s">
        <v>967</v>
      </c>
      <c r="F19" t="s">
        <v>973</v>
      </c>
      <c r="G19" t="s">
        <v>974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976</v>
      </c>
      <c r="D20" t="s">
        <v>977</v>
      </c>
      <c r="E20" t="s">
        <v>967</v>
      </c>
      <c r="F20" t="s">
        <v>978</v>
      </c>
      <c r="G20" t="s">
        <v>979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980</v>
      </c>
    </row>
    <row r="22" spans="1:18">
      <c r="B22">
        <v>404001</v>
      </c>
      <c r="C22" t="s">
        <v>981</v>
      </c>
      <c r="D22" t="s">
        <v>982</v>
      </c>
      <c r="E22" t="s">
        <v>621</v>
      </c>
      <c r="F22" t="s">
        <v>983</v>
      </c>
      <c r="G22" t="s">
        <v>984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986</v>
      </c>
      <c r="D23" t="s">
        <v>987</v>
      </c>
      <c r="E23" t="s">
        <v>621</v>
      </c>
      <c r="F23" t="s">
        <v>988</v>
      </c>
      <c r="G23" t="s">
        <v>989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990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991</v>
      </c>
      <c r="D24" t="s">
        <v>992</v>
      </c>
      <c r="E24" t="s">
        <v>621</v>
      </c>
      <c r="F24" t="s">
        <v>993</v>
      </c>
      <c r="G24" t="s">
        <v>994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996</v>
      </c>
      <c r="D25" t="s">
        <v>997</v>
      </c>
      <c r="E25" t="s">
        <v>621</v>
      </c>
      <c r="F25" t="s">
        <v>998</v>
      </c>
      <c r="G25" t="s">
        <v>999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990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1000</v>
      </c>
      <c r="D26" t="s">
        <v>1001</v>
      </c>
      <c r="E26" t="s">
        <v>621</v>
      </c>
      <c r="F26" t="s">
        <v>1002</v>
      </c>
      <c r="G26" t="s">
        <v>1003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1004</v>
      </c>
      <c r="D27" t="s">
        <v>1005</v>
      </c>
      <c r="E27" t="s">
        <v>621</v>
      </c>
      <c r="F27" t="s">
        <v>1006</v>
      </c>
      <c r="G27" t="s">
        <v>1007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990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1008</v>
      </c>
      <c r="D28" t="s">
        <v>1009</v>
      </c>
      <c r="E28" t="s">
        <v>621</v>
      </c>
      <c r="F28" t="s">
        <v>1010</v>
      </c>
      <c r="G28" t="s">
        <v>1011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1012</v>
      </c>
      <c r="D29" t="s">
        <v>1013</v>
      </c>
      <c r="E29" t="s">
        <v>621</v>
      </c>
      <c r="F29" t="s">
        <v>1014</v>
      </c>
      <c r="G29" t="s">
        <v>1015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990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1016</v>
      </c>
      <c r="D30" t="s">
        <v>1017</v>
      </c>
      <c r="E30" t="s">
        <v>621</v>
      </c>
      <c r="F30" t="s">
        <v>1018</v>
      </c>
      <c r="G30" t="s">
        <v>1019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1020</v>
      </c>
    </row>
    <row r="32" spans="1:18">
      <c r="B32">
        <v>405001</v>
      </c>
      <c r="C32" t="s">
        <v>1021</v>
      </c>
      <c r="D32" t="s">
        <v>1022</v>
      </c>
      <c r="E32" t="s">
        <v>621</v>
      </c>
      <c r="F32" t="s">
        <v>1023</v>
      </c>
      <c r="G32" t="s">
        <v>1024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1025</v>
      </c>
    </row>
    <row r="34" spans="1:18">
      <c r="B34">
        <v>406005</v>
      </c>
      <c r="C34" t="s">
        <v>1026</v>
      </c>
      <c r="D34" t="s">
        <v>1027</v>
      </c>
      <c r="E34" t="s">
        <v>896</v>
      </c>
      <c r="F34" t="s">
        <v>1028</v>
      </c>
      <c r="G34" t="s">
        <v>1029</v>
      </c>
      <c r="H34" t="s">
        <v>930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1030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1031</v>
      </c>
      <c r="D35" t="s">
        <v>1032</v>
      </c>
      <c r="E35" t="s">
        <v>896</v>
      </c>
      <c r="F35" t="s">
        <v>1033</v>
      </c>
      <c r="G35" t="s">
        <v>1034</v>
      </c>
      <c r="H35" t="s">
        <v>930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1036</v>
      </c>
      <c r="D36" t="s">
        <v>1037</v>
      </c>
      <c r="E36" t="s">
        <v>896</v>
      </c>
      <c r="F36" t="s">
        <v>1038</v>
      </c>
      <c r="G36" t="s">
        <v>1039</v>
      </c>
      <c r="H36" t="s">
        <v>930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1040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1041</v>
      </c>
      <c r="D37" t="s">
        <v>1042</v>
      </c>
      <c r="E37" t="s">
        <v>896</v>
      </c>
      <c r="F37" t="s">
        <v>1043</v>
      </c>
      <c r="G37" t="s">
        <v>1044</v>
      </c>
      <c r="H37" t="s">
        <v>930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1046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1047</v>
      </c>
      <c r="D40" t="s">
        <v>957</v>
      </c>
      <c r="E40" t="s">
        <v>96</v>
      </c>
      <c r="F40" t="s">
        <v>958</v>
      </c>
      <c r="G40" t="s">
        <v>959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1048</v>
      </c>
      <c r="D41" t="s">
        <v>961</v>
      </c>
      <c r="E41" t="s">
        <v>96</v>
      </c>
      <c r="F41" t="s">
        <v>962</v>
      </c>
      <c r="G41" t="s">
        <v>963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1049</v>
      </c>
      <c r="D42" t="s">
        <v>953</v>
      </c>
      <c r="E42" t="s">
        <v>96</v>
      </c>
      <c r="F42" t="s">
        <v>954</v>
      </c>
      <c r="G42" t="s">
        <v>955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1050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1051</v>
      </c>
      <c r="D44" t="s">
        <v>972</v>
      </c>
      <c r="E44" t="s">
        <v>967</v>
      </c>
      <c r="F44" t="s">
        <v>973</v>
      </c>
      <c r="G44" t="s">
        <v>974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975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1052</v>
      </c>
      <c r="D45" t="s">
        <v>977</v>
      </c>
      <c r="E45" t="s">
        <v>967</v>
      </c>
      <c r="F45" t="s">
        <v>978</v>
      </c>
      <c r="G45" t="s">
        <v>979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1053</v>
      </c>
    </row>
    <row r="47" spans="1:18">
      <c r="A47" t="s">
        <v>39</v>
      </c>
      <c r="B47">
        <v>500001</v>
      </c>
      <c r="C47" t="s">
        <v>1054</v>
      </c>
      <c r="D47" t="s">
        <v>1055</v>
      </c>
      <c r="E47" t="s">
        <v>96</v>
      </c>
      <c r="F47" t="s">
        <v>1054</v>
      </c>
    </row>
    <row r="48" spans="1:18">
      <c r="A48" t="s">
        <v>39</v>
      </c>
      <c r="B48">
        <v>500012</v>
      </c>
      <c r="C48" t="s">
        <v>1056</v>
      </c>
      <c r="D48" t="s">
        <v>1057</v>
      </c>
      <c r="E48" t="s">
        <v>96</v>
      </c>
      <c r="F48" t="s">
        <v>1056</v>
      </c>
    </row>
    <row r="49" spans="1:18">
      <c r="A49" t="s">
        <v>39</v>
      </c>
      <c r="B49" t="s">
        <v>1058</v>
      </c>
      <c r="C49" t="s">
        <v>161</v>
      </c>
      <c r="D49" t="s">
        <v>161</v>
      </c>
      <c r="E49" t="s">
        <v>161</v>
      </c>
      <c r="F49" t="s">
        <v>161</v>
      </c>
      <c r="G49" t="s">
        <v>161</v>
      </c>
      <c r="H49" t="s">
        <v>161</v>
      </c>
      <c r="I49" t="s">
        <v>161</v>
      </c>
      <c r="J49" t="s">
        <v>161</v>
      </c>
      <c r="K49" t="s">
        <v>161</v>
      </c>
      <c r="L49" t="s">
        <v>161</v>
      </c>
      <c r="M49" t="s">
        <v>161</v>
      </c>
      <c r="N49" t="s">
        <v>161</v>
      </c>
      <c r="O49" t="s">
        <v>161</v>
      </c>
      <c r="P49" t="s">
        <v>161</v>
      </c>
      <c r="Q49" t="s">
        <v>161</v>
      </c>
      <c r="R49" t="s">
        <v>161</v>
      </c>
    </row>
    <row r="50" spans="1:18">
      <c r="A50" t="s">
        <v>161</v>
      </c>
      <c r="B50">
        <v>501001</v>
      </c>
      <c r="C50" t="s">
        <v>1059</v>
      </c>
      <c r="D50" t="s">
        <v>1060</v>
      </c>
      <c r="E50" t="s">
        <v>96</v>
      </c>
      <c r="F50" t="s">
        <v>928</v>
      </c>
      <c r="G50" t="s">
        <v>929</v>
      </c>
      <c r="H50" t="s">
        <v>930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161</v>
      </c>
      <c r="B51">
        <v>501002</v>
      </c>
      <c r="C51" t="s">
        <v>1061</v>
      </c>
      <c r="D51" t="s">
        <v>1062</v>
      </c>
      <c r="E51" t="s">
        <v>96</v>
      </c>
      <c r="F51" t="s">
        <v>933</v>
      </c>
      <c r="G51" t="s">
        <v>934</v>
      </c>
      <c r="H51" t="s">
        <v>930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161</v>
      </c>
      <c r="P51" t="b">
        <v>1</v>
      </c>
      <c r="Q51" t="b">
        <v>0</v>
      </c>
      <c r="R51">
        <v>0</v>
      </c>
    </row>
    <row r="52" spans="1:18">
      <c r="A52" t="s">
        <v>161</v>
      </c>
      <c r="B52">
        <v>501003</v>
      </c>
      <c r="C52" t="s">
        <v>1063</v>
      </c>
      <c r="D52" t="s">
        <v>1064</v>
      </c>
      <c r="E52" t="s">
        <v>96</v>
      </c>
      <c r="F52" t="s">
        <v>937</v>
      </c>
      <c r="G52" t="s">
        <v>938</v>
      </c>
      <c r="H52" t="s">
        <v>930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161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501004</v>
      </c>
      <c r="C53" t="s">
        <v>1065</v>
      </c>
      <c r="D53" t="s">
        <v>1066</v>
      </c>
      <c r="E53" t="s">
        <v>96</v>
      </c>
      <c r="F53" t="s">
        <v>941</v>
      </c>
      <c r="G53" t="s">
        <v>942</v>
      </c>
      <c r="H53" t="s">
        <v>930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161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1067</v>
      </c>
      <c r="C54" t="s">
        <v>161</v>
      </c>
      <c r="D54" t="s">
        <v>161</v>
      </c>
      <c r="E54" t="s">
        <v>161</v>
      </c>
      <c r="F54" t="s">
        <v>161</v>
      </c>
      <c r="G54" t="s">
        <v>161</v>
      </c>
      <c r="H54" t="s">
        <v>161</v>
      </c>
      <c r="I54" t="s">
        <v>161</v>
      </c>
      <c r="J54" t="s">
        <v>161</v>
      </c>
      <c r="K54" t="s">
        <v>161</v>
      </c>
      <c r="L54" t="s">
        <v>161</v>
      </c>
      <c r="M54" t="s">
        <v>161</v>
      </c>
      <c r="N54" t="s">
        <v>161</v>
      </c>
      <c r="O54" t="s">
        <v>161</v>
      </c>
      <c r="P54" t="s">
        <v>161</v>
      </c>
      <c r="Q54" t="s">
        <v>161</v>
      </c>
      <c r="R54" t="s">
        <v>161</v>
      </c>
    </row>
    <row r="55" spans="1:18">
      <c r="A55" t="s">
        <v>161</v>
      </c>
      <c r="B55">
        <v>601001</v>
      </c>
      <c r="C55" t="s">
        <v>1068</v>
      </c>
      <c r="D55" t="s">
        <v>1027</v>
      </c>
      <c r="E55" t="s">
        <v>896</v>
      </c>
      <c r="F55" t="s">
        <v>1028</v>
      </c>
      <c r="G55" t="s">
        <v>1029</v>
      </c>
      <c r="H55" t="s">
        <v>930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1069</v>
      </c>
      <c r="P55" t="b">
        <v>1</v>
      </c>
      <c r="Q55" t="b">
        <v>0</v>
      </c>
      <c r="R55">
        <v>0</v>
      </c>
    </row>
    <row r="56" spans="1:18">
      <c r="A56" t="s">
        <v>161</v>
      </c>
      <c r="B56">
        <v>601002</v>
      </c>
      <c r="C56" t="s">
        <v>1070</v>
      </c>
      <c r="D56" t="s">
        <v>1032</v>
      </c>
      <c r="E56" t="s">
        <v>896</v>
      </c>
      <c r="F56" t="s">
        <v>1033</v>
      </c>
      <c r="G56" t="s">
        <v>1034</v>
      </c>
      <c r="H56" t="s">
        <v>930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1071</v>
      </c>
      <c r="P56" t="b">
        <v>1</v>
      </c>
      <c r="Q56" t="b">
        <v>0</v>
      </c>
      <c r="R56">
        <v>0</v>
      </c>
    </row>
    <row r="57" spans="1:18">
      <c r="A57" t="s">
        <v>161</v>
      </c>
      <c r="B57">
        <v>601003</v>
      </c>
      <c r="C57" t="s">
        <v>1072</v>
      </c>
      <c r="D57" t="s">
        <v>1037</v>
      </c>
      <c r="E57" t="s">
        <v>896</v>
      </c>
      <c r="F57" t="s">
        <v>1038</v>
      </c>
      <c r="G57" t="s">
        <v>1039</v>
      </c>
      <c r="H57" t="s">
        <v>930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1073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601004</v>
      </c>
      <c r="C58" t="s">
        <v>1074</v>
      </c>
      <c r="D58" t="s">
        <v>1042</v>
      </c>
      <c r="E58" t="s">
        <v>896</v>
      </c>
      <c r="F58" t="s">
        <v>1043</v>
      </c>
      <c r="G58" t="s">
        <v>1044</v>
      </c>
      <c r="H58" t="s">
        <v>930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1075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1076</v>
      </c>
      <c r="C59" t="s">
        <v>161</v>
      </c>
      <c r="D59" t="s">
        <v>161</v>
      </c>
      <c r="E59" t="s">
        <v>161</v>
      </c>
      <c r="F59" t="s">
        <v>161</v>
      </c>
      <c r="G59" t="s">
        <v>161</v>
      </c>
      <c r="H59" t="s">
        <v>161</v>
      </c>
      <c r="I59" t="s">
        <v>161</v>
      </c>
      <c r="J59" t="s">
        <v>161</v>
      </c>
      <c r="K59" t="s">
        <v>161</v>
      </c>
      <c r="L59" t="s">
        <v>161</v>
      </c>
      <c r="M59" t="s">
        <v>161</v>
      </c>
      <c r="N59" t="s">
        <v>161</v>
      </c>
      <c r="O59" t="s">
        <v>161</v>
      </c>
      <c r="P59" t="s">
        <v>161</v>
      </c>
      <c r="Q59" t="s">
        <v>161</v>
      </c>
      <c r="R59" t="s">
        <v>161</v>
      </c>
    </row>
    <row r="60" spans="1:18">
      <c r="A60" t="s">
        <v>161</v>
      </c>
      <c r="B60">
        <v>700001</v>
      </c>
      <c r="C60" t="s">
        <v>1077</v>
      </c>
      <c r="D60" t="s">
        <v>1078</v>
      </c>
      <c r="E60" t="s">
        <v>621</v>
      </c>
      <c r="F60" t="s">
        <v>1079</v>
      </c>
      <c r="G60" t="s">
        <v>1080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1081</v>
      </c>
      <c r="P60" t="b">
        <v>1</v>
      </c>
      <c r="Q60" t="b">
        <v>1</v>
      </c>
      <c r="R60">
        <v>0</v>
      </c>
    </row>
    <row r="61" spans="1:18">
      <c r="A61" t="s">
        <v>161</v>
      </c>
      <c r="B61">
        <v>700002</v>
      </c>
      <c r="C61" t="s">
        <v>1082</v>
      </c>
      <c r="D61" t="s">
        <v>1083</v>
      </c>
      <c r="E61" t="s">
        <v>621</v>
      </c>
      <c r="F61" t="s">
        <v>1084</v>
      </c>
      <c r="G61" t="s">
        <v>1085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1086</v>
      </c>
      <c r="P61" t="b">
        <v>1</v>
      </c>
      <c r="Q61" t="b">
        <v>1</v>
      </c>
      <c r="R61">
        <v>0</v>
      </c>
    </row>
    <row r="62" spans="1:18">
      <c r="A62" t="s">
        <v>161</v>
      </c>
      <c r="B62">
        <v>700004</v>
      </c>
      <c r="C62" t="s">
        <v>1087</v>
      </c>
      <c r="D62" t="s">
        <v>1088</v>
      </c>
      <c r="E62" t="s">
        <v>621</v>
      </c>
      <c r="F62" t="s">
        <v>1089</v>
      </c>
      <c r="G62" t="s">
        <v>1090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1091</v>
      </c>
      <c r="P62" t="b">
        <v>1</v>
      </c>
      <c r="Q62" t="b">
        <v>1</v>
      </c>
      <c r="R62">
        <v>0</v>
      </c>
    </row>
    <row r="63" spans="1:18">
      <c r="A63" t="s">
        <v>161</v>
      </c>
      <c r="B63">
        <v>700005</v>
      </c>
      <c r="C63" t="s">
        <v>1092</v>
      </c>
      <c r="D63" t="s">
        <v>1093</v>
      </c>
      <c r="E63" t="s">
        <v>621</v>
      </c>
      <c r="F63" t="s">
        <v>1094</v>
      </c>
      <c r="G63" t="s">
        <v>1095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1086</v>
      </c>
      <c r="P63" t="b">
        <v>1</v>
      </c>
      <c r="Q63" t="b">
        <v>1</v>
      </c>
      <c r="R63">
        <v>0</v>
      </c>
    </row>
    <row r="64" spans="1:18">
      <c r="A64" t="s">
        <v>161</v>
      </c>
      <c r="B64">
        <v>700007</v>
      </c>
      <c r="C64" t="s">
        <v>1096</v>
      </c>
      <c r="D64" t="s">
        <v>1097</v>
      </c>
      <c r="E64" t="s">
        <v>621</v>
      </c>
      <c r="F64" t="s">
        <v>1098</v>
      </c>
      <c r="G64" t="s">
        <v>1099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1091</v>
      </c>
      <c r="P64" t="b">
        <v>1</v>
      </c>
      <c r="Q64" t="b">
        <v>1</v>
      </c>
      <c r="R64">
        <v>0</v>
      </c>
    </row>
    <row r="65" spans="1:18">
      <c r="A65" t="s">
        <v>161</v>
      </c>
      <c r="B65">
        <v>700008</v>
      </c>
      <c r="C65" t="s">
        <v>1100</v>
      </c>
      <c r="D65" t="s">
        <v>1101</v>
      </c>
      <c r="E65" t="s">
        <v>621</v>
      </c>
      <c r="F65" t="s">
        <v>1102</v>
      </c>
      <c r="G65" t="s">
        <v>1103</v>
      </c>
      <c r="H65" t="s">
        <v>161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1086</v>
      </c>
      <c r="P65" t="b">
        <v>1</v>
      </c>
      <c r="Q65" t="b">
        <v>1</v>
      </c>
      <c r="R65">
        <v>0</v>
      </c>
    </row>
    <row r="66" spans="1:18">
      <c r="A66" t="s">
        <v>161</v>
      </c>
      <c r="B66">
        <v>700010</v>
      </c>
      <c r="C66" t="s">
        <v>1104</v>
      </c>
      <c r="D66" t="s">
        <v>1105</v>
      </c>
      <c r="E66" t="s">
        <v>621</v>
      </c>
      <c r="F66" t="s">
        <v>1106</v>
      </c>
      <c r="G66" t="s">
        <v>1107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1091</v>
      </c>
      <c r="P66" t="b">
        <v>1</v>
      </c>
      <c r="Q66" t="b">
        <v>1</v>
      </c>
      <c r="R66">
        <v>0</v>
      </c>
    </row>
    <row r="67" spans="1:18">
      <c r="A67" t="s">
        <v>161</v>
      </c>
      <c r="B67">
        <v>700011</v>
      </c>
      <c r="C67" t="s">
        <v>1108</v>
      </c>
      <c r="D67" t="s">
        <v>1109</v>
      </c>
      <c r="E67" t="s">
        <v>621</v>
      </c>
      <c r="F67" t="s">
        <v>1110</v>
      </c>
      <c r="G67" t="s">
        <v>1111</v>
      </c>
      <c r="H67" t="s">
        <v>161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1086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1112</v>
      </c>
    </row>
    <row r="69" spans="1:18">
      <c r="B69">
        <v>700101</v>
      </c>
      <c r="C69" t="s">
        <v>1113</v>
      </c>
      <c r="D69" t="s">
        <v>1114</v>
      </c>
      <c r="E69" t="s">
        <v>621</v>
      </c>
      <c r="F69" t="s">
        <v>1115</v>
      </c>
      <c r="G69" t="s">
        <v>1116</v>
      </c>
      <c r="H69" t="s">
        <v>161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1117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1118</v>
      </c>
      <c r="D70" t="s">
        <v>1119</v>
      </c>
      <c r="E70" t="s">
        <v>621</v>
      </c>
      <c r="F70" t="s">
        <v>1120</v>
      </c>
      <c r="G70" t="s">
        <v>1121</v>
      </c>
      <c r="H70" t="s">
        <v>161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1122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1123</v>
      </c>
      <c r="D71" t="s">
        <v>1124</v>
      </c>
      <c r="E71" t="s">
        <v>621</v>
      </c>
      <c r="F71" t="s">
        <v>1125</v>
      </c>
      <c r="G71" t="s">
        <v>1126</v>
      </c>
      <c r="H71" t="s">
        <v>161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1117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1127</v>
      </c>
      <c r="D72" t="s">
        <v>1128</v>
      </c>
      <c r="E72" t="s">
        <v>621</v>
      </c>
      <c r="F72" t="s">
        <v>1129</v>
      </c>
      <c r="G72" t="s">
        <v>1130</v>
      </c>
      <c r="H72" t="s">
        <v>161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1122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1131</v>
      </c>
      <c r="D73" t="s">
        <v>1132</v>
      </c>
      <c r="E73" t="s">
        <v>621</v>
      </c>
      <c r="F73" t="s">
        <v>1133</v>
      </c>
      <c r="G73" t="s">
        <v>1134</v>
      </c>
      <c r="H73" t="s">
        <v>161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1117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1135</v>
      </c>
      <c r="D74" t="s">
        <v>1136</v>
      </c>
      <c r="E74" t="s">
        <v>621</v>
      </c>
      <c r="F74" t="s">
        <v>1137</v>
      </c>
      <c r="G74" t="s">
        <v>1138</v>
      </c>
      <c r="H74" t="s">
        <v>161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1122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1139</v>
      </c>
      <c r="D75" t="s">
        <v>1140</v>
      </c>
      <c r="E75" t="s">
        <v>621</v>
      </c>
      <c r="F75" t="s">
        <v>1141</v>
      </c>
      <c r="G75" t="s">
        <v>1142</v>
      </c>
      <c r="H75" t="s">
        <v>161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1117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1143</v>
      </c>
      <c r="D76" t="s">
        <v>1144</v>
      </c>
      <c r="E76" t="s">
        <v>621</v>
      </c>
      <c r="F76" t="s">
        <v>1145</v>
      </c>
      <c r="G76" t="s">
        <v>1146</v>
      </c>
      <c r="H76" t="s">
        <v>161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1122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1147</v>
      </c>
      <c r="C77" t="s">
        <v>161</v>
      </c>
      <c r="D77" t="s">
        <v>161</v>
      </c>
      <c r="E77" t="s">
        <v>161</v>
      </c>
      <c r="F77" t="s">
        <v>161</v>
      </c>
      <c r="G77" t="s">
        <v>161</v>
      </c>
      <c r="H77" t="s">
        <v>161</v>
      </c>
      <c r="I77" t="s">
        <v>161</v>
      </c>
      <c r="J77" t="s">
        <v>161</v>
      </c>
      <c r="K77" t="s">
        <v>161</v>
      </c>
      <c r="L77" t="s">
        <v>161</v>
      </c>
      <c r="M77" t="s">
        <v>161</v>
      </c>
      <c r="N77" t="s">
        <v>161</v>
      </c>
      <c r="O77" t="s">
        <v>161</v>
      </c>
      <c r="P77" t="s">
        <v>161</v>
      </c>
      <c r="Q77" t="s">
        <v>161</v>
      </c>
      <c r="R77" t="s">
        <v>161</v>
      </c>
    </row>
    <row r="78" spans="1:18">
      <c r="A78" t="s">
        <v>161</v>
      </c>
      <c r="B78">
        <v>701001</v>
      </c>
      <c r="C78" t="s">
        <v>1148</v>
      </c>
      <c r="D78" t="s">
        <v>1149</v>
      </c>
      <c r="E78" t="s">
        <v>621</v>
      </c>
      <c r="F78" t="s">
        <v>1150</v>
      </c>
      <c r="G78" t="s">
        <v>1024</v>
      </c>
      <c r="H78" t="s">
        <v>161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1091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1151</v>
      </c>
    </row>
    <row r="80" spans="1:18">
      <c r="B80">
        <v>701101</v>
      </c>
      <c r="C80" t="s">
        <v>1152</v>
      </c>
      <c r="D80" t="s">
        <v>1153</v>
      </c>
      <c r="E80" t="s">
        <v>621</v>
      </c>
      <c r="F80" t="s">
        <v>1154</v>
      </c>
      <c r="G80" t="s">
        <v>1155</v>
      </c>
      <c r="H80" t="s">
        <v>161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1117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782ddc8a-1aa0-448e-bd41-535a16a934e8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1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1156</v>
      </c>
      <c r="D1" t="s">
        <v>1157</v>
      </c>
      <c r="E1" s="1" t="s">
        <v>888</v>
      </c>
      <c r="F1" s="2" t="s">
        <v>1158</v>
      </c>
      <c r="G1" t="s">
        <v>1159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1160</v>
      </c>
      <c r="D4" s="5" t="s">
        <v>1161</v>
      </c>
      <c r="E4" s="6" t="s">
        <v>1162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1163</v>
      </c>
      <c r="F5" s="2" t="s">
        <v>597</v>
      </c>
      <c r="G5" s="5" t="s">
        <v>1164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1165</v>
      </c>
      <c r="F6" s="2" t="s">
        <v>1166</v>
      </c>
      <c r="G6" t="s">
        <v>1167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1168</v>
      </c>
      <c r="F7" s="11" t="s">
        <v>1169</v>
      </c>
      <c r="G7" s="12" t="s">
        <v>1170</v>
      </c>
    </row>
    <row r="8" ht="84" customHeight="1" spans="1:7">
      <c r="B8">
        <v>1003</v>
      </c>
      <c r="C8">
        <v>201000</v>
      </c>
      <c r="D8">
        <v>209999</v>
      </c>
      <c r="E8" s="1" t="s">
        <v>1171</v>
      </c>
      <c r="F8" s="2" t="s">
        <v>1172</v>
      </c>
      <c r="G8" s="5" t="s">
        <v>1173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1174</v>
      </c>
      <c r="F9" s="2" t="s">
        <v>1175</v>
      </c>
      <c r="G9" t="s">
        <v>1176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1177</v>
      </c>
      <c r="F10" s="11" t="s">
        <v>1178</v>
      </c>
      <c r="G10" s="9" t="s">
        <v>1179</v>
      </c>
    </row>
    <row r="11" ht="67" customHeight="1" spans="1:7">
      <c r="B11">
        <v>1005</v>
      </c>
      <c r="C11">
        <v>300000</v>
      </c>
      <c r="D11">
        <v>399999</v>
      </c>
      <c r="E11" s="1" t="s">
        <v>1180</v>
      </c>
      <c r="F11" s="2" t="s">
        <v>1181</v>
      </c>
      <c r="G11" t="s">
        <v>1179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1182</v>
      </c>
      <c r="F12" s="11" t="s">
        <v>1183</v>
      </c>
      <c r="G12" s="9" t="s">
        <v>1184</v>
      </c>
    </row>
    <row r="13" ht="60" customHeight="1" spans="1:7">
      <c r="B13">
        <v>1006</v>
      </c>
      <c r="C13">
        <v>301000</v>
      </c>
      <c r="D13">
        <v>301999</v>
      </c>
      <c r="E13" s="1" t="s">
        <v>1185</v>
      </c>
      <c r="F13" s="2" t="s">
        <v>1186</v>
      </c>
      <c r="G13" t="s">
        <v>1184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1187</v>
      </c>
      <c r="F14" s="2" t="s">
        <v>1188</v>
      </c>
      <c r="G14" t="s">
        <v>1189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1190</v>
      </c>
      <c r="F15" s="2" t="s">
        <v>1191</v>
      </c>
      <c r="G15" t="s">
        <v>1192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1193</v>
      </c>
      <c r="F16" s="2" t="s">
        <v>1194</v>
      </c>
      <c r="G16" t="s">
        <v>1195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1196</v>
      </c>
      <c r="F17" s="2" t="s">
        <v>1197</v>
      </c>
      <c r="G17" t="s">
        <v>1198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1199</v>
      </c>
      <c r="F18" s="2" t="s">
        <v>1200</v>
      </c>
      <c r="G18" t="s">
        <v>1201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1202</v>
      </c>
      <c r="F19" s="2" t="s">
        <v>1203</v>
      </c>
      <c r="G19" t="s">
        <v>1204</v>
      </c>
    </row>
    <row r="20" ht="52.2" spans="1:7">
      <c r="B20">
        <v>1033</v>
      </c>
      <c r="C20">
        <v>500001</v>
      </c>
      <c r="D20">
        <v>500999</v>
      </c>
      <c r="E20" s="6" t="s">
        <v>1205</v>
      </c>
      <c r="F20" s="2" t="s">
        <v>1206</v>
      </c>
      <c r="G20" t="s">
        <v>1207</v>
      </c>
    </row>
    <row r="21" ht="34.8" spans="1:7">
      <c r="A21" t="s">
        <v>161</v>
      </c>
      <c r="B21">
        <v>1013</v>
      </c>
      <c r="C21">
        <v>501000</v>
      </c>
      <c r="D21">
        <v>501999</v>
      </c>
      <c r="E21" s="6" t="s">
        <v>1208</v>
      </c>
      <c r="F21" s="2" t="s">
        <v>1209</v>
      </c>
      <c r="G21" t="s">
        <v>1210</v>
      </c>
    </row>
    <row r="22" ht="34.8" spans="1:7">
      <c r="A22" t="s">
        <v>161</v>
      </c>
      <c r="B22">
        <v>1014</v>
      </c>
      <c r="C22">
        <v>502000</v>
      </c>
      <c r="D22">
        <v>502999</v>
      </c>
      <c r="E22" s="1" t="s">
        <v>1211</v>
      </c>
      <c r="F22" s="2" t="s">
        <v>1212</v>
      </c>
      <c r="G22" t="s">
        <v>1213</v>
      </c>
    </row>
    <row r="23" ht="34.8" spans="1:7">
      <c r="A23" t="s">
        <v>161</v>
      </c>
      <c r="B23">
        <v>1015</v>
      </c>
      <c r="C23">
        <v>503000</v>
      </c>
      <c r="D23">
        <v>599999</v>
      </c>
      <c r="E23" s="6" t="s">
        <v>1214</v>
      </c>
      <c r="F23" s="2" t="s">
        <v>1215</v>
      </c>
      <c r="G23" t="s">
        <v>1216</v>
      </c>
    </row>
    <row r="24" ht="87" spans="1:7">
      <c r="A24" t="s">
        <v>161</v>
      </c>
      <c r="B24">
        <v>1016</v>
      </c>
      <c r="C24">
        <v>600000</v>
      </c>
      <c r="D24">
        <v>699999</v>
      </c>
      <c r="E24" s="6" t="s">
        <v>1217</v>
      </c>
      <c r="F24" s="2" t="s">
        <v>1218</v>
      </c>
      <c r="G24" t="s">
        <v>1219</v>
      </c>
    </row>
    <row r="25" ht="34.8" spans="1:7">
      <c r="A25" t="s">
        <v>161</v>
      </c>
      <c r="B25">
        <v>1017</v>
      </c>
      <c r="C25">
        <v>601000</v>
      </c>
      <c r="D25">
        <v>601999</v>
      </c>
      <c r="E25" s="6" t="s">
        <v>1220</v>
      </c>
      <c r="F25" s="2" t="s">
        <v>1221</v>
      </c>
      <c r="G25" t="s">
        <v>1222</v>
      </c>
    </row>
    <row r="26" ht="34.8" spans="1:7">
      <c r="A26" t="s">
        <v>161</v>
      </c>
      <c r="B26">
        <v>1018</v>
      </c>
      <c r="C26">
        <v>602000</v>
      </c>
      <c r="D26">
        <v>602999</v>
      </c>
      <c r="E26" s="6" t="s">
        <v>1223</v>
      </c>
      <c r="F26" s="2" t="s">
        <v>1224</v>
      </c>
      <c r="G26" t="s">
        <v>1225</v>
      </c>
    </row>
    <row r="27" ht="34.8" spans="1:7">
      <c r="A27" t="s">
        <v>161</v>
      </c>
      <c r="B27">
        <v>1019</v>
      </c>
      <c r="C27">
        <v>603000</v>
      </c>
      <c r="D27">
        <v>603999</v>
      </c>
      <c r="E27" s="6" t="s">
        <v>1226</v>
      </c>
      <c r="F27" s="2" t="s">
        <v>1227</v>
      </c>
      <c r="G27" t="s">
        <v>1228</v>
      </c>
    </row>
    <row r="28" ht="34.8" spans="1:7">
      <c r="A28" t="s">
        <v>161</v>
      </c>
      <c r="B28">
        <v>1020</v>
      </c>
      <c r="C28">
        <v>604000</v>
      </c>
      <c r="D28">
        <v>699999</v>
      </c>
      <c r="E28" s="6" t="s">
        <v>1229</v>
      </c>
      <c r="F28" s="2" t="s">
        <v>1230</v>
      </c>
      <c r="G28" t="s">
        <v>1231</v>
      </c>
    </row>
    <row r="29" ht="34.8" spans="1:7">
      <c r="A29" t="s">
        <v>161</v>
      </c>
      <c r="B29">
        <v>1021</v>
      </c>
      <c r="C29">
        <v>700000</v>
      </c>
      <c r="D29">
        <v>799999</v>
      </c>
      <c r="E29" s="6" t="s">
        <v>1232</v>
      </c>
      <c r="F29" s="2" t="s">
        <v>1233</v>
      </c>
      <c r="G29" t="s">
        <v>1234</v>
      </c>
    </row>
    <row r="30" ht="52.2" spans="1:7">
      <c r="A30" t="s">
        <v>161</v>
      </c>
      <c r="B30">
        <v>1022</v>
      </c>
      <c r="C30">
        <v>700000</v>
      </c>
      <c r="D30">
        <v>709999</v>
      </c>
      <c r="E30" s="1" t="s">
        <v>1235</v>
      </c>
      <c r="F30" s="2" t="s">
        <v>1236</v>
      </c>
      <c r="G30" t="s">
        <v>1237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1238</v>
      </c>
      <c r="F31" s="11" t="s">
        <v>1239</v>
      </c>
      <c r="G31" s="9" t="s">
        <v>1240</v>
      </c>
    </row>
    <row r="32" ht="52.2" spans="1:7">
      <c r="B32">
        <v>1023</v>
      </c>
      <c r="C32">
        <v>700000</v>
      </c>
      <c r="D32">
        <v>700999</v>
      </c>
      <c r="E32" s="6" t="s">
        <v>1241</v>
      </c>
      <c r="F32" s="2" t="s">
        <v>1242</v>
      </c>
      <c r="G32" t="s">
        <v>1243</v>
      </c>
    </row>
    <row r="33" ht="34.8" spans="1:7">
      <c r="B33">
        <v>1029</v>
      </c>
      <c r="C33">
        <v>700000</v>
      </c>
      <c r="D33">
        <v>700099</v>
      </c>
      <c r="E33" s="2" t="s">
        <v>1244</v>
      </c>
      <c r="F33" s="2" t="s">
        <v>1245</v>
      </c>
      <c r="G33" t="s">
        <v>1246</v>
      </c>
    </row>
    <row r="34" ht="34.8" spans="1:7">
      <c r="B34">
        <v>1030</v>
      </c>
      <c r="C34">
        <v>700100</v>
      </c>
      <c r="D34">
        <v>700999</v>
      </c>
      <c r="E34" s="2" t="s">
        <v>1247</v>
      </c>
      <c r="F34" s="2" t="s">
        <v>1248</v>
      </c>
      <c r="G34" t="s">
        <v>1249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1250</v>
      </c>
      <c r="F35" s="11" t="s">
        <v>1251</v>
      </c>
      <c r="G35" s="9" t="s">
        <v>1252</v>
      </c>
    </row>
    <row r="36" ht="71" customHeight="1" spans="1:7">
      <c r="B36">
        <v>1024</v>
      </c>
      <c r="C36">
        <v>701000</v>
      </c>
      <c r="D36">
        <v>701999</v>
      </c>
      <c r="E36" s="6" t="s">
        <v>1253</v>
      </c>
      <c r="F36" s="2" t="s">
        <v>1254</v>
      </c>
      <c r="G36" t="s">
        <v>1255</v>
      </c>
    </row>
    <row r="37" ht="71" customHeight="1" spans="1:7">
      <c r="B37">
        <v>1031</v>
      </c>
      <c r="C37">
        <v>701000</v>
      </c>
      <c r="D37">
        <v>701099</v>
      </c>
      <c r="E37" s="2" t="s">
        <v>1256</v>
      </c>
      <c r="F37" s="2" t="s">
        <v>1257</v>
      </c>
      <c r="G37" t="s">
        <v>1258</v>
      </c>
    </row>
    <row r="38" ht="71" customHeight="1" spans="1:7">
      <c r="B38">
        <v>1032</v>
      </c>
      <c r="C38">
        <v>701100</v>
      </c>
      <c r="D38">
        <v>701999</v>
      </c>
      <c r="E38" s="2" t="s">
        <v>1259</v>
      </c>
      <c r="F38" s="2" t="s">
        <v>1251</v>
      </c>
      <c r="G38" t="s">
        <v>1260</v>
      </c>
    </row>
    <row r="39" ht="34.8" spans="1:7">
      <c r="A39" t="s">
        <v>161</v>
      </c>
      <c r="B39">
        <v>1025</v>
      </c>
      <c r="C39">
        <v>702000</v>
      </c>
      <c r="D39">
        <v>709999</v>
      </c>
      <c r="E39" s="6" t="s">
        <v>1261</v>
      </c>
      <c r="F39" s="2" t="s">
        <v>1262</v>
      </c>
      <c r="G39" t="s">
        <v>1263</v>
      </c>
    </row>
    <row r="40" ht="34.8" spans="1:7">
      <c r="A40" t="s">
        <v>161</v>
      </c>
      <c r="B40">
        <v>1026</v>
      </c>
      <c r="C40">
        <v>710000</v>
      </c>
      <c r="D40">
        <v>799999</v>
      </c>
      <c r="E40" s="1" t="s">
        <v>1264</v>
      </c>
      <c r="F40" s="2" t="s">
        <v>1265</v>
      </c>
      <c r="G40" t="s">
        <v>1266</v>
      </c>
    </row>
    <row r="41" ht="34.8" spans="1:7">
      <c r="A41" t="s">
        <v>161</v>
      </c>
      <c r="B41">
        <v>1027</v>
      </c>
      <c r="C41">
        <v>800000</v>
      </c>
      <c r="D41">
        <v>999999</v>
      </c>
      <c r="E41" s="6" t="s">
        <v>1267</v>
      </c>
      <c r="F41" s="2" t="s">
        <v>1268</v>
      </c>
      <c r="G41" t="s">
        <v>629</v>
      </c>
    </row>
    <row r="42" ht="34.8" spans="1:7">
      <c r="A42" t="s">
        <v>161</v>
      </c>
      <c r="B42">
        <v>1028</v>
      </c>
      <c r="C42">
        <v>1</v>
      </c>
      <c r="D42">
        <v>99999</v>
      </c>
      <c r="E42" s="6" t="s">
        <v>1269</v>
      </c>
      <c r="F42" s="2" t="s">
        <v>1270</v>
      </c>
      <c r="G42" t="s">
        <v>1271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2026-08-12T09:37:24Z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